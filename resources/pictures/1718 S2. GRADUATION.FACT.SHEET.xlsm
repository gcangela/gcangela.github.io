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S:\ASIS\ASISBBA\ASIS_graduation\1718 S2\FS &amp; contract\"/>
    </mc:Choice>
  </mc:AlternateContent>
  <bookViews>
    <workbookView xWindow="45" yWindow="60" windowWidth="12810" windowHeight="12990"/>
  </bookViews>
  <sheets>
    <sheet name="FACT SHEET" sheetId="4" r:id="rId1"/>
    <sheet name="PRINT" sheetId="5" r:id="rId2"/>
  </sheets>
  <definedNames>
    <definedName name="_xlnm.Print_Area" localSheetId="1">PRINT!$B$1:$G$111</definedName>
    <definedName name="CATEGORY">'FACT SHEET'!$FB$2:$FV$2</definedName>
    <definedName name="CREDITSMISSING">'FACT SHEET'!$L$144:$L$173</definedName>
    <definedName name="DAY">'FACT SHEET'!$D$2:$AH$2</definedName>
    <definedName name="DIGITS">'FACT SHEET'!$K$172:$O$172</definedName>
    <definedName name="DWM">'FACT SHEET'!$EW$2:$EY$2</definedName>
    <definedName name="GENDER">'FACT SHEET'!$B$2:$C$2</definedName>
    <definedName name="GROSSNET">'FACT SHEET'!$EU$2:$EV$2</definedName>
    <definedName name="INTERMEDIARY">'FACT SHEET'!$EO$2:$EP$2</definedName>
    <definedName name="MAJOR">'FACT SHEET'!$EJ$2:$EN$2</definedName>
    <definedName name="MONTH">'FACT SHEET'!$AI$2:$AT$2</definedName>
    <definedName name="RELATION">'FACT SHEET'!$DX$2:$EI$2</definedName>
    <definedName name="TASKS">'FACT SHEET'!$ES$2:$ET$2</definedName>
    <definedName name="TYPE">'FACT SHEET'!$GC$2:$GD$2</definedName>
    <definedName name="WORKDAYS">'FACT SHEET'!$EZ$2:$FA$2</definedName>
    <definedName name="YEAR">'FACT SHEET'!$AU$2:$DW$2</definedName>
    <definedName name="YEAR2">'FACT SHEET'!$FW$2:$FX$2</definedName>
    <definedName name="YEAR3">'FACT SHEET'!$FY$2:$FZ$2</definedName>
    <definedName name="YEAR4">'FACT SHEET'!$GA$2:$GB$2</definedName>
    <definedName name="YESNO">'FACT SHEET'!$EQ$2:$ER$2</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D73" i="5" l="1"/>
  <c r="D72" i="5"/>
  <c r="D62" i="5"/>
  <c r="D61" i="5"/>
  <c r="D60" i="5"/>
  <c r="D56" i="5"/>
  <c r="D55" i="5"/>
  <c r="D54" i="5"/>
  <c r="D53" i="5"/>
  <c r="D52" i="5"/>
  <c r="D51" i="5"/>
  <c r="D50" i="5"/>
  <c r="D49" i="5"/>
  <c r="D45" i="5"/>
  <c r="D44" i="5"/>
  <c r="D43" i="5"/>
  <c r="D42" i="5"/>
  <c r="D41" i="5"/>
  <c r="D40" i="5"/>
  <c r="D39" i="5"/>
  <c r="D38" i="5"/>
  <c r="D34" i="5"/>
  <c r="D33" i="5"/>
  <c r="D29" i="5"/>
  <c r="D28" i="5"/>
  <c r="D27" i="5"/>
  <c r="D23" i="5"/>
  <c r="D22" i="5"/>
  <c r="D21" i="5"/>
  <c r="D17" i="5"/>
  <c r="D16" i="5"/>
  <c r="D15" i="5"/>
  <c r="D14" i="5"/>
  <c r="D13" i="5"/>
  <c r="D12" i="5"/>
  <c r="D11" i="5"/>
  <c r="F10" i="5"/>
  <c r="E10" i="5"/>
  <c r="D10" i="5"/>
  <c r="G100" i="5"/>
  <c r="C100" i="5"/>
  <c r="G108" i="5"/>
  <c r="G105" i="5"/>
  <c r="C108" i="5"/>
  <c r="C105" i="5"/>
  <c r="C103" i="5"/>
  <c r="C98" i="5"/>
  <c r="E84" i="5"/>
  <c r="D84" i="5"/>
  <c r="E83" i="5"/>
  <c r="D83" i="5"/>
  <c r="F82" i="5"/>
  <c r="E82" i="5"/>
  <c r="D82" i="5"/>
  <c r="F81" i="5"/>
  <c r="E81" i="5"/>
  <c r="D81" i="5"/>
  <c r="G96" i="5"/>
  <c r="G95" i="5"/>
  <c r="G94" i="5"/>
  <c r="G93" i="5"/>
  <c r="G92" i="5"/>
  <c r="G91" i="5"/>
  <c r="G90" i="5"/>
  <c r="G89" i="5"/>
  <c r="G88" i="5"/>
  <c r="C96" i="5"/>
  <c r="C95" i="5"/>
  <c r="C94" i="5"/>
  <c r="C93" i="5"/>
  <c r="C92" i="5"/>
  <c r="C91" i="5"/>
  <c r="C90" i="5"/>
  <c r="C89" i="5"/>
  <c r="C88" i="5"/>
  <c r="C86" i="5"/>
  <c r="C84" i="5"/>
  <c r="C83" i="5"/>
  <c r="C82" i="5"/>
  <c r="C81" i="5"/>
  <c r="C79" i="5"/>
  <c r="C77" i="5"/>
  <c r="C70" i="5"/>
  <c r="C66" i="5"/>
  <c r="C73" i="5"/>
  <c r="C72" i="5"/>
  <c r="C62" i="5"/>
  <c r="C61" i="5"/>
  <c r="C60" i="5"/>
  <c r="C56" i="5"/>
  <c r="C55" i="5"/>
  <c r="C54" i="5"/>
  <c r="C53" i="5"/>
  <c r="C52" i="5"/>
  <c r="C51" i="5"/>
  <c r="C50" i="5"/>
  <c r="C49" i="5"/>
  <c r="C45" i="5"/>
  <c r="C44" i="5"/>
  <c r="C43" i="5"/>
  <c r="C42" i="5"/>
  <c r="C41" i="5"/>
  <c r="C40" i="5"/>
  <c r="C39" i="5"/>
  <c r="C38" i="5"/>
  <c r="C36" i="5"/>
  <c r="C2" i="5"/>
  <c r="C34" i="5"/>
  <c r="C33" i="5"/>
  <c r="C29" i="5"/>
  <c r="C28" i="5"/>
  <c r="C27" i="5"/>
  <c r="C23" i="5"/>
  <c r="C22" i="5"/>
  <c r="C21" i="5"/>
  <c r="C16" i="5"/>
  <c r="C15" i="5"/>
  <c r="C14" i="5"/>
  <c r="C13" i="5"/>
  <c r="C12" i="5"/>
  <c r="C11" i="5"/>
  <c r="C10" i="5"/>
  <c r="C9" i="5"/>
  <c r="C8" i="5"/>
  <c r="C7" i="5"/>
  <c r="C6" i="5"/>
  <c r="C5" i="5"/>
  <c r="C4" i="5"/>
  <c r="D9" i="5"/>
  <c r="D8" i="5"/>
  <c r="D7" i="5"/>
  <c r="D6" i="5"/>
  <c r="D5" i="5"/>
  <c r="D4" i="5"/>
  <c r="C17" i="5"/>
  <c r="K146" i="4" l="1"/>
  <c r="BS193" i="4"/>
  <c r="BP193" i="4"/>
  <c r="B6" i="4" l="1"/>
  <c r="B1" i="5" s="1"/>
  <c r="BQ193" i="4" l="1"/>
  <c r="BU193" i="4"/>
  <c r="BT193" i="4"/>
  <c r="BR193" i="4"/>
  <c r="BO193" i="4"/>
  <c r="BN193" i="4"/>
  <c r="BM193" i="4"/>
  <c r="K139" i="4"/>
  <c r="BL193" i="4" s="1"/>
  <c r="K137" i="4"/>
  <c r="BK193" i="4" s="1"/>
  <c r="BH193" i="4"/>
  <c r="BG193" i="4"/>
  <c r="BF193" i="4"/>
  <c r="BE193" i="4"/>
  <c r="BD193" i="4"/>
  <c r="BC193" i="4"/>
  <c r="BB193" i="4"/>
  <c r="BA193" i="4"/>
  <c r="AZ193" i="4"/>
  <c r="AY193" i="4"/>
  <c r="AX193" i="4"/>
  <c r="AW193" i="4"/>
  <c r="AV193" i="4"/>
  <c r="AU193" i="4"/>
  <c r="AT193" i="4"/>
  <c r="AS193" i="4"/>
  <c r="AR193" i="4"/>
  <c r="AQ193" i="4"/>
  <c r="AP193" i="4"/>
  <c r="AO193" i="4"/>
  <c r="AN193" i="4"/>
  <c r="AM193" i="4"/>
  <c r="AL193" i="4"/>
  <c r="AK193" i="4"/>
  <c r="AJ193" i="4"/>
  <c r="AI193" i="4"/>
  <c r="AH193" i="4"/>
  <c r="AG193" i="4"/>
  <c r="AF193" i="4"/>
  <c r="AE193" i="4"/>
  <c r="AD193" i="4"/>
  <c r="AC193" i="4"/>
  <c r="AB193" i="4"/>
  <c r="AA193" i="4"/>
  <c r="Z193" i="4"/>
  <c r="Y193" i="4"/>
  <c r="X193" i="4"/>
  <c r="W193" i="4"/>
  <c r="V193" i="4"/>
  <c r="U193" i="4"/>
  <c r="S193" i="4"/>
  <c r="R193" i="4"/>
  <c r="Q193" i="4"/>
  <c r="P193" i="4"/>
  <c r="O193" i="4"/>
  <c r="N193" i="4"/>
  <c r="K133" i="4"/>
  <c r="BJ193" i="4" s="1"/>
  <c r="K131" i="4"/>
  <c r="BI193" i="4" s="1"/>
  <c r="K31" i="4"/>
  <c r="T193" i="4" s="1"/>
  <c r="BV193" i="4"/>
  <c r="FY1" i="4" l="1"/>
  <c r="FY3" i="4" s="1"/>
  <c r="FX1" i="4"/>
  <c r="FW1" i="4"/>
  <c r="FV1" i="4"/>
  <c r="FU1" i="4"/>
  <c r="FT1" i="4"/>
  <c r="FS1" i="4"/>
  <c r="FR1" i="4"/>
  <c r="FQ1" i="4"/>
  <c r="FP1" i="4"/>
  <c r="FO1" i="4"/>
  <c r="FN1" i="4"/>
  <c r="FM1" i="4"/>
  <c r="FL1" i="4"/>
  <c r="FK1" i="4"/>
  <c r="FJ1" i="4"/>
  <c r="FI1" i="4"/>
  <c r="FH1" i="4"/>
  <c r="FG1" i="4"/>
  <c r="FF1" i="4"/>
  <c r="FE1" i="4"/>
  <c r="FX3" i="4" l="1"/>
  <c r="FW3" i="4" s="1"/>
  <c r="FV3" i="4" s="1"/>
  <c r="FU3" i="4" s="1"/>
  <c r="FT3" i="4" s="1"/>
  <c r="FS3" i="4" s="1"/>
  <c r="FR3" i="4" s="1"/>
  <c r="FQ3" i="4" s="1"/>
  <c r="FP3" i="4" s="1"/>
  <c r="FO3" i="4" s="1"/>
  <c r="FN3" i="4" s="1"/>
  <c r="FM3" i="4" s="1"/>
  <c r="FL3" i="4" s="1"/>
  <c r="FK3" i="4" s="1"/>
  <c r="FJ3" i="4" s="1"/>
  <c r="FI3" i="4" s="1"/>
  <c r="FH3" i="4" s="1"/>
  <c r="FG3" i="4" s="1"/>
  <c r="FF3" i="4" s="1"/>
  <c r="FE3" i="4" s="1"/>
  <c r="J101" i="4" s="1"/>
</calcChain>
</file>

<file path=xl/sharedStrings.xml><?xml version="1.0" encoding="utf-8"?>
<sst xmlns="http://schemas.openxmlformats.org/spreadsheetml/2006/main" count="312" uniqueCount="225">
  <si>
    <t>IBS</t>
  </si>
  <si>
    <t>ABS</t>
  </si>
  <si>
    <t>YES</t>
  </si>
  <si>
    <t>NO</t>
  </si>
  <si>
    <t>First Name:</t>
  </si>
  <si>
    <t>Last Name:</t>
  </si>
  <si>
    <t>Initials:</t>
  </si>
  <si>
    <t>Prefix:</t>
  </si>
  <si>
    <t>Gender:</t>
  </si>
  <si>
    <t>Nationality:</t>
  </si>
  <si>
    <t>Date of Birth:</t>
  </si>
  <si>
    <t>Male</t>
  </si>
  <si>
    <t>Contact Name:</t>
  </si>
  <si>
    <t>Contact Telephone:</t>
  </si>
  <si>
    <t>Relation:</t>
  </si>
  <si>
    <t>Partner</t>
  </si>
  <si>
    <t>Female</t>
  </si>
  <si>
    <t>Mobile:</t>
  </si>
  <si>
    <t>Father</t>
  </si>
  <si>
    <t>Mother</t>
  </si>
  <si>
    <t>Uncle</t>
  </si>
  <si>
    <t>Aunt</t>
  </si>
  <si>
    <t>Brother</t>
  </si>
  <si>
    <t>Sister</t>
  </si>
  <si>
    <t>Grandfather</t>
  </si>
  <si>
    <t>Grandmother</t>
  </si>
  <si>
    <t>Friend</t>
  </si>
  <si>
    <t>Neighbour</t>
  </si>
  <si>
    <t>Other</t>
  </si>
  <si>
    <t>SELECT</t>
  </si>
  <si>
    <t>TYPE</t>
  </si>
  <si>
    <t>Country:</t>
  </si>
  <si>
    <t>Company:</t>
  </si>
  <si>
    <t>Department:</t>
  </si>
  <si>
    <t>Major:</t>
  </si>
  <si>
    <t>CML</t>
  </si>
  <si>
    <t>IFM</t>
  </si>
  <si>
    <t>LABS</t>
  </si>
  <si>
    <t>Position:</t>
  </si>
  <si>
    <t>Contact E-Mail:</t>
  </si>
  <si>
    <t>Private E-Mail:</t>
  </si>
  <si>
    <t>Telephone:</t>
  </si>
  <si>
    <t>Company Contact:</t>
  </si>
  <si>
    <t>Company Mentor:</t>
  </si>
  <si>
    <t>Street and No:</t>
  </si>
  <si>
    <t>Postcode:</t>
  </si>
  <si>
    <t>City:</t>
  </si>
  <si>
    <t>Website:</t>
  </si>
  <si>
    <t>Category:</t>
  </si>
  <si>
    <t>Company Name:</t>
  </si>
  <si>
    <t>Intermediary:</t>
  </si>
  <si>
    <t>I used an intermediary</t>
  </si>
  <si>
    <t>I did not use an intermediary</t>
  </si>
  <si>
    <t>Name Intermediary:</t>
  </si>
  <si>
    <t>Describe Company:</t>
  </si>
  <si>
    <t>In your own words describe the company / department. For example, you may want to explain their core business, number of employees, location, number of clients, annual sales, number of products manufactured and so forth. Include any relevant information that will allow us to determine the complexity of business environment in which you will be working.</t>
  </si>
  <si>
    <t>WRITE DESCRIPTION</t>
  </si>
  <si>
    <t>Support Provided:</t>
  </si>
  <si>
    <t>Unrelated Tasks:</t>
  </si>
  <si>
    <t>I will spend more than 1 day per week on tasks unrelated to the graduation assignment.</t>
  </si>
  <si>
    <t>I will NOT spend more than 1 day per week on tasks unrelated to the graduation assignment.</t>
  </si>
  <si>
    <t>If you will be spending more than 1 day per week on tasks that are unrelated to the graduation assignment, then please provide a short description explaining what these unrelated tasks will be.</t>
  </si>
  <si>
    <t>Internship Starts:</t>
  </si>
  <si>
    <t>Internship Ends:</t>
  </si>
  <si>
    <t>GROSS</t>
  </si>
  <si>
    <t>NET</t>
  </si>
  <si>
    <t>Travel Allowance:</t>
  </si>
  <si>
    <t>DAY</t>
  </si>
  <si>
    <t>WEEK</t>
  </si>
  <si>
    <t>MONTH</t>
  </si>
  <si>
    <t>Working Days:</t>
  </si>
  <si>
    <t>4 Days Per Week</t>
  </si>
  <si>
    <t>5 Days Per Week</t>
  </si>
  <si>
    <t>Agriculture, Forestry and Fishing</t>
  </si>
  <si>
    <t>Mining and Quarrying</t>
  </si>
  <si>
    <t>Manufacturing</t>
  </si>
  <si>
    <t>Electricity, Gas, Steam and Air Conditioning Supply</t>
  </si>
  <si>
    <t>Water Supply; Sewerage, Waste Management and Remediation Activities</t>
  </si>
  <si>
    <t>Construction</t>
  </si>
  <si>
    <t>Wholesale and Retail Trade; Repair of Motor Vehicles and Motorcycles</t>
  </si>
  <si>
    <t>Transportation and Storage</t>
  </si>
  <si>
    <t>Accommodation and Food Service Activities</t>
  </si>
  <si>
    <t>Information and Communication</t>
  </si>
  <si>
    <t>Financial Institutions</t>
  </si>
  <si>
    <t>Renting, Buying and Selling of Real Estate</t>
  </si>
  <si>
    <t>Renting and Leasing of Tangible Goods and other Business Support Services</t>
  </si>
  <si>
    <t>Consultancy, Research and other Specialised Business Services</t>
  </si>
  <si>
    <t>Public Administration, Public Services and Compulsory Social Security</t>
  </si>
  <si>
    <t>Education</t>
  </si>
  <si>
    <t>Human Health and Social Work Activities</t>
  </si>
  <si>
    <t>Culture, Sports and Recreation</t>
  </si>
  <si>
    <t>Other Service Activities</t>
  </si>
  <si>
    <t>Activities of Households as Employers; Undifferentiated Goods - and Service - Producing Activities of Households for own use</t>
  </si>
  <si>
    <t>Extraterritorial Organisations and Bodies</t>
  </si>
  <si>
    <t>Explain Tasks:</t>
  </si>
  <si>
    <t>I have obtained all of my 2nd year study credits</t>
  </si>
  <si>
    <t>I have obtained all of my 3rd year study credits</t>
  </si>
  <si>
    <t>I have obtained all of my 4th year study credits</t>
  </si>
  <si>
    <t>I have NOT yet obtained all my 4th year projects</t>
  </si>
  <si>
    <t>I have NOT yet obtained all my 3rd year projects</t>
  </si>
  <si>
    <t>I have NOT yet obtained all my 2nd year projects</t>
  </si>
  <si>
    <r>
      <t xml:space="preserve">Section A: </t>
    </r>
    <r>
      <rPr>
        <i/>
        <sz val="14"/>
        <color rgb="FF00B0F0"/>
        <rFont val="Calibri"/>
        <family val="2"/>
        <scheme val="minor"/>
      </rPr>
      <t>Student Information</t>
    </r>
  </si>
  <si>
    <r>
      <t xml:space="preserve">Section B: </t>
    </r>
    <r>
      <rPr>
        <i/>
        <sz val="14"/>
        <color rgb="FF00B0F0"/>
        <rFont val="Calibri"/>
        <family val="2"/>
        <scheme val="minor"/>
      </rPr>
      <t>Graduation Assignment &amp; Activities</t>
    </r>
  </si>
  <si>
    <r>
      <t xml:space="preserve">Section D: </t>
    </r>
    <r>
      <rPr>
        <i/>
        <sz val="14"/>
        <color rgb="FF00B0F0"/>
        <rFont val="Calibri"/>
        <family val="2"/>
        <scheme val="minor"/>
      </rPr>
      <t>Academic Information</t>
    </r>
  </si>
  <si>
    <t>Student Number</t>
  </si>
  <si>
    <t>Gender</t>
  </si>
  <si>
    <t>Nationality</t>
  </si>
  <si>
    <t>Company Name</t>
  </si>
  <si>
    <t>Company Mentor</t>
  </si>
  <si>
    <t>Student Number:</t>
  </si>
  <si>
    <t>Stipend:</t>
  </si>
  <si>
    <t>Mentor E-Mail:</t>
  </si>
  <si>
    <t>01</t>
  </si>
  <si>
    <t>02</t>
  </si>
  <si>
    <t>03</t>
  </si>
  <si>
    <t>04</t>
  </si>
  <si>
    <t>05</t>
  </si>
  <si>
    <t>06</t>
  </si>
  <si>
    <t>07</t>
  </si>
  <si>
    <t>08</t>
  </si>
  <si>
    <t>09</t>
  </si>
  <si>
    <t>10</t>
  </si>
  <si>
    <t>11</t>
  </si>
  <si>
    <t>12</t>
  </si>
  <si>
    <t>Date of Birth</t>
  </si>
  <si>
    <t>First Name</t>
  </si>
  <si>
    <t>Initials</t>
  </si>
  <si>
    <t>Surname</t>
  </si>
  <si>
    <t>Prefix</t>
  </si>
  <si>
    <t>Place of Birth</t>
  </si>
  <si>
    <t>E-mail</t>
  </si>
  <si>
    <t>Mobile</t>
  </si>
  <si>
    <t>Major</t>
  </si>
  <si>
    <t>Home School</t>
  </si>
  <si>
    <t>Emergency Contact</t>
  </si>
  <si>
    <t>Contact Telephone</t>
  </si>
  <si>
    <t>Relationship</t>
  </si>
  <si>
    <t>2nd Year Placement</t>
  </si>
  <si>
    <t>Company</t>
  </si>
  <si>
    <t>Department</t>
  </si>
  <si>
    <t>3rd Year Placement</t>
  </si>
  <si>
    <t>Company Contact</t>
  </si>
  <si>
    <t>Position</t>
  </si>
  <si>
    <t>Telephone</t>
  </si>
  <si>
    <t>Street</t>
  </si>
  <si>
    <t>Postcode</t>
  </si>
  <si>
    <t>City</t>
  </si>
  <si>
    <t>Country</t>
  </si>
  <si>
    <t>Website</t>
  </si>
  <si>
    <t>Category</t>
  </si>
  <si>
    <t>Found By</t>
  </si>
  <si>
    <t>Intermediary Yes / No</t>
  </si>
  <si>
    <t>Name Intermediary</t>
  </si>
  <si>
    <t>Description Company</t>
  </si>
  <si>
    <t>Description Project</t>
  </si>
  <si>
    <t>Support Provided</t>
  </si>
  <si>
    <t>Unrelated Tasks</t>
  </si>
  <si>
    <t>Explanation Tasks</t>
  </si>
  <si>
    <t>Internship Starts</t>
  </si>
  <si>
    <t>Internship Ends</t>
  </si>
  <si>
    <t>PER WEEK</t>
  </si>
  <si>
    <t>Travel Expenses</t>
  </si>
  <si>
    <t>Stipend (per week)</t>
  </si>
  <si>
    <t>Retake Possible</t>
  </si>
  <si>
    <t>Total Credits Missing</t>
  </si>
  <si>
    <t>Double / Single Degree</t>
  </si>
  <si>
    <t>Single / Double:</t>
  </si>
  <si>
    <r>
      <rPr>
        <b/>
        <i/>
        <sz val="8"/>
        <color theme="1" tint="0.499984740745262"/>
        <rFont val="Calibri"/>
        <family val="2"/>
        <scheme val="minor"/>
      </rPr>
      <t>TIP:</t>
    </r>
    <r>
      <rPr>
        <i/>
        <sz val="8"/>
        <color theme="1" tint="0.499984740745262"/>
        <rFont val="Calibri"/>
        <family val="2"/>
        <scheme val="minor"/>
      </rPr>
      <t xml:space="preserve"> If you are typing a lot of text, it may be easier for you to type it into a word document first. You can then copy and paste your text into this form.</t>
    </r>
  </si>
  <si>
    <r>
      <rPr>
        <b/>
        <sz val="10"/>
        <color rgb="FF00B0F0"/>
        <rFont val="Calibri"/>
        <family val="2"/>
        <scheme val="minor"/>
      </rPr>
      <t>Requirements</t>
    </r>
    <r>
      <rPr>
        <b/>
        <sz val="9"/>
        <color rgb="FF00B0F0"/>
        <rFont val="Calibri"/>
        <family val="2"/>
        <scheme val="minor"/>
      </rPr>
      <t xml:space="preserve"> </t>
    </r>
    <r>
      <rPr>
        <sz val="9"/>
        <color theme="0"/>
        <rFont val="Calibri"/>
        <family val="2"/>
        <scheme val="minor"/>
      </rPr>
      <t>for submitting this factsheet and starting your graduation internship:</t>
    </r>
  </si>
  <si>
    <r>
      <rPr>
        <sz val="9"/>
        <color theme="0"/>
        <rFont val="Calibri"/>
        <family val="2"/>
        <scheme val="minor"/>
      </rPr>
      <t xml:space="preserve">□  Check whether your graduation internship complies with your individual requirements such as country, language (mainly for Double Degree students), or content (mainly for IFM students) (see Handbook)
□  Complete and submit the factsheet &amp; company assignment for approval before the deadline (see Blackboard). 
□  Receive an e-mail with the approval of the factsheet (if your factsheet is not approved, you will need to resubmit it)
□  Submit a contract signed by the company and yourself before the deadline. The information needs to match the factsheet. 
□  Check that you have all the necessary credits before starting your graduation internship. 
□  If going abroad, register on https://mobility.avans.nl/ </t>
    </r>
    <r>
      <rPr>
        <b/>
        <sz val="9"/>
        <color theme="0"/>
        <rFont val="Calibri"/>
        <family val="2"/>
        <scheme val="minor"/>
      </rPr>
      <t xml:space="preserve">
</t>
    </r>
  </si>
  <si>
    <r>
      <t>It is</t>
    </r>
    <r>
      <rPr>
        <b/>
        <sz val="10"/>
        <color rgb="FF00B0F0"/>
        <rFont val="Calibri"/>
        <family val="2"/>
        <scheme val="minor"/>
      </rPr>
      <t xml:space="preserve"> your responsibility</t>
    </r>
    <r>
      <rPr>
        <b/>
        <sz val="10"/>
        <color theme="0"/>
        <rFont val="Calibri"/>
        <family val="2"/>
        <scheme val="minor"/>
      </rPr>
      <t xml:space="preserve"> </t>
    </r>
    <r>
      <rPr>
        <sz val="10"/>
        <color theme="0"/>
        <rFont val="Calibri"/>
        <family val="2"/>
        <scheme val="minor"/>
      </rPr>
      <t xml:space="preserve">to ensure that you have met all the requirements for starting your graduation internship. Please note that if the ASIS staff determines that you have not met the requirements, you </t>
    </r>
    <r>
      <rPr>
        <u/>
        <sz val="10"/>
        <color theme="0"/>
        <rFont val="Calibri"/>
        <family val="2"/>
        <scheme val="minor"/>
      </rPr>
      <t>will not be allowed</t>
    </r>
    <r>
      <rPr>
        <sz val="10"/>
        <color theme="0"/>
        <rFont val="Calibri"/>
        <family val="2"/>
        <scheme val="minor"/>
      </rPr>
      <t xml:space="preserve"> to start with the internship and if you have already started, </t>
    </r>
    <r>
      <rPr>
        <u/>
        <sz val="10"/>
        <color theme="0"/>
        <rFont val="Calibri"/>
        <family val="2"/>
        <scheme val="minor"/>
      </rPr>
      <t>you will have to terminate it.</t>
    </r>
    <r>
      <rPr>
        <sz val="10"/>
        <color theme="0"/>
        <rFont val="Calibri"/>
        <family val="2"/>
        <scheme val="minor"/>
      </rPr>
      <t xml:space="preserve"> Submitting this factsheet implies that you have read and understood the requirements for starting your graduation internship as stipulated in the ASIS Handbook and the graduation community. </t>
    </r>
  </si>
  <si>
    <r>
      <rPr>
        <b/>
        <sz val="10"/>
        <color rgb="FF00B0F0"/>
        <rFont val="Calibri"/>
        <family val="2"/>
        <scheme val="minor"/>
      </rPr>
      <t>Instructions:</t>
    </r>
    <r>
      <rPr>
        <b/>
        <sz val="9"/>
        <color theme="0"/>
        <rFont val="Calibri"/>
        <family val="2"/>
        <scheme val="minor"/>
      </rPr>
      <t xml:space="preserve"> </t>
    </r>
    <r>
      <rPr>
        <sz val="9"/>
        <color theme="0"/>
        <rFont val="Calibri"/>
        <family val="2"/>
        <scheme val="minor"/>
      </rPr>
      <t>Complete the fact sheet by filling in the required fields of information. The information is divided into 4 sections A to D respectively.</t>
    </r>
  </si>
  <si>
    <r>
      <rPr>
        <b/>
        <sz val="10"/>
        <color rgb="FF00B0F0"/>
        <rFont val="Calibri"/>
        <family val="2"/>
        <scheme val="minor"/>
      </rPr>
      <t>Submission:</t>
    </r>
    <r>
      <rPr>
        <b/>
        <sz val="9"/>
        <color theme="0"/>
        <rFont val="Calibri"/>
        <family val="2"/>
        <scheme val="minor"/>
      </rPr>
      <t xml:space="preserve"> </t>
    </r>
    <r>
      <rPr>
        <sz val="9"/>
        <color theme="0"/>
        <rFont val="Calibri"/>
        <family val="2"/>
        <scheme val="minor"/>
      </rPr>
      <t xml:space="preserve">When you have completed the fact sheet, (1) save the file as follows: "First Name", "Surname","hyphen",  "Graduation Fact Sheet" (for example: "Oscar de Souza - Graduation FS"), and (2) send the file to the graduation team by e-mail at: </t>
    </r>
    <r>
      <rPr>
        <b/>
        <sz val="9"/>
        <color theme="0"/>
        <rFont val="Calibri"/>
        <family val="2"/>
        <scheme val="minor"/>
      </rPr>
      <t>graduation.ASIS@avans.nl</t>
    </r>
  </si>
  <si>
    <t>Resit:</t>
  </si>
  <si>
    <r>
      <rPr>
        <b/>
        <sz val="10"/>
        <color rgb="FF00B0F0"/>
        <rFont val="Calibri"/>
        <family val="2"/>
        <scheme val="minor"/>
      </rPr>
      <t>Emergency Contact:</t>
    </r>
    <r>
      <rPr>
        <b/>
        <sz val="9"/>
        <color theme="0"/>
        <rFont val="Calibri"/>
        <family val="2"/>
        <scheme val="minor"/>
      </rPr>
      <t xml:space="preserve"> </t>
    </r>
    <r>
      <rPr>
        <sz val="9"/>
        <color theme="0"/>
        <rFont val="Calibri"/>
        <family val="2"/>
        <scheme val="minor"/>
      </rPr>
      <t>In the spaces below please provide the name and telephone number of who to contact in case of emergency. Please indicate how this person is related to you by selecting a relevant option from the drop down menu.</t>
    </r>
  </si>
  <si>
    <t>University:</t>
  </si>
  <si>
    <r>
      <rPr>
        <b/>
        <sz val="10"/>
        <color rgb="FF00B0F0"/>
        <rFont val="Calibri"/>
        <family val="2"/>
        <scheme val="minor"/>
      </rPr>
      <t>2nd Year Placement:</t>
    </r>
    <r>
      <rPr>
        <b/>
        <sz val="10"/>
        <color theme="0"/>
        <rFont val="Calibri"/>
        <family val="2"/>
        <scheme val="minor"/>
      </rPr>
      <t xml:space="preserve"> </t>
    </r>
    <r>
      <rPr>
        <sz val="9"/>
        <color theme="0"/>
        <rFont val="Calibri"/>
        <family val="2"/>
        <scheme val="minor"/>
      </rPr>
      <t>In the spaces below please provide information about your 2nd Year Placement (if applicable). Provide the Country where you completed your placement, (2) the Name of the Company, and (3) the Department in which you worked.</t>
    </r>
  </si>
  <si>
    <r>
      <rPr>
        <b/>
        <sz val="10"/>
        <color rgb="FF00B0F0"/>
        <rFont val="Calibri"/>
        <family val="2"/>
        <scheme val="minor"/>
      </rPr>
      <t>3rd Year Semester Exchange:</t>
    </r>
    <r>
      <rPr>
        <b/>
        <sz val="9"/>
        <color theme="0"/>
        <rFont val="Calibri"/>
        <family val="2"/>
        <scheme val="minor"/>
      </rPr>
      <t xml:space="preserve"> </t>
    </r>
    <r>
      <rPr>
        <sz val="9"/>
        <color theme="0"/>
        <rFont val="Calibri"/>
        <family val="2"/>
        <scheme val="minor"/>
      </rPr>
      <t>In the spaces below please provide information about your 3rd Year Exchange or Minor  (if applicable). Provide the country where you completed your Exchange or Minor and (2) the name of the University.</t>
    </r>
  </si>
  <si>
    <r>
      <rPr>
        <b/>
        <sz val="10"/>
        <color rgb="FF00B0F0"/>
        <rFont val="Calibri"/>
        <family val="2"/>
        <scheme val="minor"/>
      </rPr>
      <t>Company and Assignment:</t>
    </r>
    <r>
      <rPr>
        <b/>
        <sz val="10"/>
        <color theme="0"/>
        <rFont val="Calibri"/>
        <family val="2"/>
        <scheme val="minor"/>
      </rPr>
      <t xml:space="preserve"> </t>
    </r>
    <r>
      <rPr>
        <sz val="9"/>
        <color theme="0"/>
        <rFont val="Calibri"/>
        <family val="2"/>
        <scheme val="minor"/>
      </rPr>
      <t>In this section you provide information about the graduation company and the assignment on which you will be working.</t>
    </r>
  </si>
  <si>
    <r>
      <rPr>
        <b/>
        <sz val="10"/>
        <color rgb="FF00B0F0"/>
        <rFont val="Calibri"/>
        <family val="2"/>
        <scheme val="minor"/>
      </rPr>
      <t>Company Details:</t>
    </r>
    <r>
      <rPr>
        <b/>
        <sz val="10"/>
        <color theme="0"/>
        <rFont val="Calibri"/>
        <family val="2"/>
        <scheme val="minor"/>
      </rPr>
      <t xml:space="preserve"> </t>
    </r>
    <r>
      <rPr>
        <sz val="9"/>
        <color theme="0"/>
        <rFont val="Calibri"/>
        <family val="2"/>
        <scheme val="minor"/>
      </rPr>
      <t>In the spaces below please provide the address and details of your graduation company.</t>
    </r>
  </si>
  <si>
    <r>
      <rPr>
        <b/>
        <sz val="10"/>
        <color rgb="FF00B0F0"/>
        <rFont val="Calibri"/>
        <family val="2"/>
        <scheme val="minor"/>
      </rPr>
      <t>How did you find the company:</t>
    </r>
    <r>
      <rPr>
        <b/>
        <sz val="10"/>
        <color theme="0"/>
        <rFont val="Calibri"/>
        <family val="2"/>
        <scheme val="minor"/>
      </rPr>
      <t xml:space="preserve"> </t>
    </r>
    <r>
      <rPr>
        <sz val="9"/>
        <color theme="0"/>
        <rFont val="Calibri"/>
        <family val="2"/>
        <scheme val="minor"/>
      </rPr>
      <t>In the spaces below please provide information on how you you found your internship - via your personal network / BB / intermediary company or other.</t>
    </r>
  </si>
  <si>
    <t>Found via:</t>
  </si>
  <si>
    <r>
      <rPr>
        <b/>
        <sz val="10"/>
        <color rgb="FF00B0F0"/>
        <rFont val="Calibri"/>
        <family val="2"/>
        <scheme val="minor"/>
      </rPr>
      <t>Descriptions:</t>
    </r>
    <r>
      <rPr>
        <b/>
        <sz val="10"/>
        <color theme="0"/>
        <rFont val="Calibri"/>
        <family val="2"/>
        <scheme val="minor"/>
      </rPr>
      <t xml:space="preserve"> </t>
    </r>
    <r>
      <rPr>
        <sz val="9"/>
        <color theme="0"/>
        <rFont val="Calibri"/>
        <family val="2"/>
        <scheme val="minor"/>
      </rPr>
      <t>In the spaces below please provide compact descriptions of (1) the company and the department in which you will be working, (2) the project on which you will be working, and (3) the kind of support that you can expect from the company whilst working on your project.</t>
    </r>
  </si>
  <si>
    <t>The owner of the business problem and/or the company mentor will provide access to people (e.g. employees) and company data needed to solve the business problem</t>
  </si>
  <si>
    <t xml:space="preserve">I will spend more than one day per week on tasks unrelated to the graduation assignment. </t>
  </si>
  <si>
    <t>Select</t>
  </si>
  <si>
    <r>
      <t xml:space="preserve">I am aware that I </t>
    </r>
    <r>
      <rPr>
        <b/>
        <i/>
        <sz val="9"/>
        <color theme="0"/>
        <rFont val="Calibri"/>
        <family val="2"/>
        <scheme val="minor"/>
      </rPr>
      <t xml:space="preserve">cannot start </t>
    </r>
    <r>
      <rPr>
        <i/>
        <sz val="9"/>
        <color theme="0"/>
        <rFont val="Calibri"/>
        <family val="2"/>
        <scheme val="minor"/>
      </rPr>
      <t>with my internship if – at the start of my internship - I have not obtained at least 81 ECTS out of 90 ECTS from Year 3 and Year 4 modules/study units and if I have failed either one or both of the modules Business Research Methods (written exam and the project).</t>
    </r>
  </si>
  <si>
    <t>For non-Dutch students: (Hungarian/French/Italian/German Double Degree students do NOT have to answer this question)</t>
  </si>
  <si>
    <t>How many semesters have you spent in your native country during your studies at ASIS?</t>
  </si>
  <si>
    <t>For incoming (Hungarian /French /Italian / German) Double Degree students:</t>
  </si>
  <si>
    <t xml:space="preserve">My graduation internship meets the requirements of the double degree contract and the ASIS Handbook. </t>
  </si>
  <si>
    <t>SD</t>
  </si>
  <si>
    <t>Home School DD:</t>
  </si>
  <si>
    <t>DD</t>
  </si>
  <si>
    <r>
      <t xml:space="preserve">Section C: </t>
    </r>
    <r>
      <rPr>
        <i/>
        <sz val="14"/>
        <color rgb="FF00B0F0"/>
        <rFont val="Calibri"/>
        <family val="2"/>
        <scheme val="minor"/>
      </rPr>
      <t>Dates and Allowances</t>
    </r>
  </si>
  <si>
    <t>DECLARATION:</t>
  </si>
  <si>
    <t>FOR IBMS STUDENTS ONLY:</t>
  </si>
  <si>
    <r>
      <rPr>
        <b/>
        <sz val="10"/>
        <color rgb="FF00B0F0"/>
        <rFont val="Calibri"/>
        <family val="2"/>
        <scheme val="minor"/>
      </rPr>
      <t>Dates and Allowances:</t>
    </r>
    <r>
      <rPr>
        <b/>
        <sz val="10"/>
        <color theme="0"/>
        <rFont val="Calibri"/>
        <family val="2"/>
        <scheme val="minor"/>
      </rPr>
      <t xml:space="preserve"> </t>
    </r>
    <r>
      <rPr>
        <sz val="9"/>
        <color theme="0"/>
        <rFont val="Calibri"/>
        <family val="2"/>
        <scheme val="minor"/>
      </rPr>
      <t>In this section you provide information about (1) the duration of your graduation assignment, (2) arrangements concerning stipend (if applicable), and (3) agreements concerning travel expenses.</t>
    </r>
  </si>
  <si>
    <t>How many 2nd year credits are you missing?</t>
  </si>
  <si>
    <t>Can you still retake all of these 2nd year subjects?</t>
  </si>
  <si>
    <t>Can you still retake all of these 3rd year subjects?</t>
  </si>
  <si>
    <t>Can you still retake all of these 4th year subjects?</t>
  </si>
  <si>
    <t>How many 3rd year credits are you missing?</t>
  </si>
  <si>
    <t>How many 4th year credits are you missing?</t>
  </si>
  <si>
    <t>Which 2nd year subjects are you missing?</t>
  </si>
  <si>
    <t>Which 3rd year subjects are you missing?</t>
  </si>
  <si>
    <t>Which 4th year subjects are you missing?</t>
  </si>
  <si>
    <t>2nd Year Credits Missing</t>
  </si>
  <si>
    <t>3rd Year Credits Missing</t>
  </si>
  <si>
    <t>4th Year Credits Missing</t>
  </si>
  <si>
    <t>2nd Year Subjects Missing</t>
  </si>
  <si>
    <t>3rd Year Subjects Missing</t>
  </si>
  <si>
    <t>4th Year Subjects Missing</t>
  </si>
  <si>
    <r>
      <rPr>
        <b/>
        <sz val="10"/>
        <color rgb="FF00B0F0"/>
        <rFont val="Calibri"/>
        <family val="2"/>
        <scheme val="minor"/>
      </rPr>
      <t>Academic Information:</t>
    </r>
    <r>
      <rPr>
        <b/>
        <sz val="10"/>
        <color theme="0"/>
        <rFont val="Calibri"/>
        <family val="2"/>
        <scheme val="minor"/>
      </rPr>
      <t xml:space="preserve"> </t>
    </r>
    <r>
      <rPr>
        <sz val="9"/>
        <color theme="0"/>
        <rFont val="Calibri"/>
        <family val="2"/>
        <scheme val="minor"/>
      </rPr>
      <t>In this section you provide your academic information. Please do this ASAP - do not wait until you have sufficient credits before submitting this fact sheet.</t>
    </r>
  </si>
  <si>
    <t>Describe Assignment:</t>
  </si>
  <si>
    <t>2nd Year Placement:</t>
  </si>
  <si>
    <t>Emergency Contact:</t>
  </si>
  <si>
    <t>3rd Year Semester Exchange:</t>
  </si>
  <si>
    <t>Company Details:</t>
  </si>
  <si>
    <t>How did you find the company:</t>
  </si>
  <si>
    <t>Company Description</t>
  </si>
  <si>
    <t>Assignment Description</t>
  </si>
  <si>
    <t>Explain Tasks</t>
  </si>
  <si>
    <t>Print Hard Copy</t>
  </si>
  <si>
    <t xml:space="preserve">Describe the business issue of the company, this is the assignment you will be working on. Explain why it is important to the company and what the desired outcome is. During the interview (or before) determine exactly what the company wants you to achieve. The description of the problem is important since the aim of the graduation is to have students prove that they are capable of solving a complex business problem. The project description will form the basis of your exploration and research question.  The more complete the better! </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</si>
</sst>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quot;€&quot;\ #,##0.00"/>
    <numFmt numFmtId="166" formatCode="[$-409]mmm/yy;@"/>
    <numFmt numFmtId="167" formatCode="0000000"/>
  </numFmts>
  <fonts count="38" x14ac:knownFonts="1">
    <font>
      <sz val="11"/>
      <color theme="1"/>
      <name val="Calibri"/>
      <family val="2"/>
      <scheme val="minor"/>
    </font>
    <font>
      <u/>
      <sz val="11"/>
      <color theme="11"/>
      <name val="Calibri"/>
      <family val="2"/>
      <scheme val="minor"/>
    </font>
    <font>
      <b/>
      <sz val="11"/>
      <color theme="0"/>
      <name val="Calibri"/>
      <family val="2"/>
      <scheme val="minor"/>
    </font>
    <font>
      <b/>
      <sz val="11"/>
      <color theme="1"/>
      <name val="Calibri"/>
      <family val="2"/>
      <scheme val="minor"/>
    </font>
    <font>
      <b/>
      <sz val="24"/>
      <color theme="0"/>
      <name val="Calibri"/>
      <family val="2"/>
      <scheme val="minor"/>
    </font>
    <font>
      <sz val="9"/>
      <color theme="0"/>
      <name val="Calibri"/>
      <family val="2"/>
      <scheme val="minor"/>
    </font>
    <font>
      <b/>
      <sz val="9"/>
      <color theme="0"/>
      <name val="Calibri"/>
      <family val="2"/>
      <scheme val="minor"/>
    </font>
    <font>
      <sz val="8"/>
      <color theme="1"/>
      <name val="Calibri"/>
      <family val="2"/>
      <scheme val="minor"/>
    </font>
    <font>
      <b/>
      <sz val="9"/>
      <color rgb="FF00B0F0"/>
      <name val="Calibri"/>
      <family val="2"/>
      <scheme val="minor"/>
    </font>
    <font>
      <i/>
      <sz val="8"/>
      <color theme="0"/>
      <name val="Calibri"/>
      <family val="2"/>
      <scheme val="minor"/>
    </font>
    <font>
      <sz val="3"/>
      <color theme="0"/>
      <name val="Calibri"/>
      <family val="2"/>
      <scheme val="minor"/>
    </font>
    <font>
      <b/>
      <sz val="10"/>
      <color theme="0"/>
      <name val="Calibri"/>
      <family val="2"/>
      <scheme val="minor"/>
    </font>
    <font>
      <b/>
      <sz val="12"/>
      <color theme="0"/>
      <name val="Calibri"/>
      <family val="2"/>
      <scheme val="minor"/>
    </font>
    <font>
      <b/>
      <sz val="12"/>
      <color theme="1"/>
      <name val="Calibri"/>
      <family val="2"/>
      <scheme val="minor"/>
    </font>
    <font>
      <sz val="12"/>
      <color theme="1"/>
      <name val="Calibri"/>
      <family val="2"/>
      <scheme val="minor"/>
    </font>
    <font>
      <b/>
      <sz val="10"/>
      <color rgb="FF00B0F0"/>
      <name val="Calibri"/>
      <family val="2"/>
      <scheme val="minor"/>
    </font>
    <font>
      <sz val="11"/>
      <color theme="0"/>
      <name val="Calibri"/>
      <family val="2"/>
      <scheme val="minor"/>
    </font>
    <font>
      <sz val="9"/>
      <color theme="1"/>
      <name val="Calibri"/>
      <family val="2"/>
      <scheme val="minor"/>
    </font>
    <font>
      <i/>
      <sz val="10"/>
      <color theme="0"/>
      <name val="Calibri"/>
      <family val="2"/>
      <scheme val="minor"/>
    </font>
    <font>
      <u/>
      <sz val="11"/>
      <color theme="10"/>
      <name val="Calibri"/>
      <family val="2"/>
      <scheme val="minor"/>
    </font>
    <font>
      <i/>
      <sz val="8"/>
      <color theme="1" tint="0.499984740745262"/>
      <name val="Calibri"/>
      <family val="2"/>
      <scheme val="minor"/>
    </font>
    <font>
      <b/>
      <i/>
      <sz val="8"/>
      <color theme="1" tint="0.499984740745262"/>
      <name val="Calibri"/>
      <family val="2"/>
      <scheme val="minor"/>
    </font>
    <font>
      <sz val="11"/>
      <color theme="1" tint="0.499984740745262"/>
      <name val="Calibri"/>
      <family val="2"/>
      <scheme val="minor"/>
    </font>
    <font>
      <b/>
      <sz val="36"/>
      <color theme="1" tint="0.499984740745262"/>
      <name val="Calibri"/>
      <family val="2"/>
      <scheme val="minor"/>
    </font>
    <font>
      <b/>
      <sz val="24"/>
      <color rgb="FF00B0F0"/>
      <name val="Calibri"/>
      <family val="2"/>
      <scheme val="minor"/>
    </font>
    <font>
      <i/>
      <sz val="14"/>
      <color rgb="FF00B0F0"/>
      <name val="Calibri"/>
      <family val="2"/>
      <scheme val="minor"/>
    </font>
    <font>
      <sz val="11"/>
      <name val="Calibri"/>
      <family val="2"/>
      <scheme val="minor"/>
    </font>
    <font>
      <sz val="8"/>
      <name val="Calibri"/>
      <family val="2"/>
      <scheme val="minor"/>
    </font>
    <font>
      <sz val="8"/>
      <name val="Arial"/>
      <family val="2"/>
    </font>
    <font>
      <sz val="8"/>
      <color theme="1" tint="0.14999847407452621"/>
      <name val="Calibri"/>
      <family val="2"/>
      <scheme val="minor"/>
    </font>
    <font>
      <sz val="11"/>
      <color theme="1" tint="0.14999847407452621"/>
      <name val="Calibri"/>
      <family val="2"/>
      <scheme val="minor"/>
    </font>
    <font>
      <sz val="10"/>
      <color theme="0"/>
      <name val="Calibri"/>
      <family val="2"/>
      <scheme val="minor"/>
    </font>
    <font>
      <u/>
      <sz val="10"/>
      <color theme="0"/>
      <name val="Calibri"/>
      <family val="2"/>
      <scheme val="minor"/>
    </font>
    <font>
      <i/>
      <sz val="9"/>
      <color theme="0"/>
      <name val="Calibri"/>
      <family val="2"/>
      <scheme val="minor"/>
    </font>
    <font>
      <b/>
      <i/>
      <sz val="9"/>
      <color theme="0"/>
      <name val="Calibri"/>
      <family val="2"/>
      <scheme val="minor"/>
    </font>
    <font>
      <b/>
      <sz val="18"/>
      <color theme="0"/>
      <name val="Calibri"/>
      <family val="2"/>
      <scheme val="minor"/>
    </font>
    <font>
      <b/>
      <sz val="18"/>
      <color theme="1"/>
      <name val="Calibri"/>
      <family val="2"/>
      <scheme val="minor"/>
    </font>
    <font>
      <b/>
      <sz val="22"/>
      <color theme="1"/>
      <name val="Calibri"/>
      <family val="2"/>
      <scheme val="minor"/>
    </font>
  </fonts>
  <fills count="12">
    <fill>
      <patternFill patternType="none"/>
    </fill>
    <fill>
      <patternFill patternType="gray125"/>
    </fill>
    <fill>
      <patternFill patternType="solid">
        <fgColor theme="1" tint="0.14996795556505021"/>
        <bgColor indexed="64"/>
      </patternFill>
    </fill>
    <fill>
      <patternFill patternType="solid">
        <fgColor theme="0"/>
        <bgColor indexed="64"/>
      </patternFill>
    </fill>
    <fill>
      <patternFill patternType="solid">
        <fgColor theme="0"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1" tint="0.49998474074526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4">
    <xf numFmtId="0" fontId="0" fillId="0" borderId="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9" fillId="0" borderId="0" applyNumberFormat="0" applyFill="0" applyBorder="0" applyAlignment="0" applyProtection="0"/>
  </cellStyleXfs>
  <cellXfs count="97">
    <xf numFmtId="0" fontId="0" fillId="0" borderId="0" xfId="0"/>
    <xf numFmtId="0" fontId="16" fillId="2" borderId="0" xfId="0" applyFont="1" applyFill="1" applyAlignment="1" applyProtection="1">
      <alignment horizontal="center" vertical="center" wrapText="1"/>
      <protection hidden="1"/>
    </xf>
    <xf numFmtId="0" fontId="0" fillId="3" borderId="0" xfId="0" applyFill="1" applyAlignment="1" applyProtection="1">
      <alignment horizontal="center" vertical="center" wrapText="1"/>
      <protection hidden="1"/>
    </xf>
    <xf numFmtId="164" fontId="0" fillId="3" borderId="0" xfId="0" applyNumberFormat="1" applyFill="1" applyAlignment="1" applyProtection="1">
      <alignment horizontal="center" vertical="center" wrapText="1"/>
      <protection hidden="1"/>
    </xf>
    <xf numFmtId="0" fontId="0" fillId="2" borderId="0" xfId="0" applyFill="1" applyAlignment="1" applyProtection="1">
      <alignment horizontal="center" vertical="top" wrapText="1"/>
      <protection hidden="1"/>
    </xf>
    <xf numFmtId="0" fontId="13" fillId="2" borderId="0" xfId="0" applyFont="1" applyFill="1" applyAlignment="1" applyProtection="1">
      <alignment horizontal="center" vertical="center" wrapText="1"/>
      <protection hidden="1"/>
    </xf>
    <xf numFmtId="0" fontId="10" fillId="2" borderId="0" xfId="0" applyFont="1" applyFill="1" applyAlignment="1" applyProtection="1">
      <alignment horizontal="right" vertical="top" wrapText="1"/>
      <protection hidden="1"/>
    </xf>
    <xf numFmtId="0" fontId="2" fillId="5" borderId="0" xfId="0" applyFont="1" applyFill="1" applyAlignment="1" applyProtection="1">
      <alignment horizontal="center" vertical="center" wrapText="1"/>
      <protection hidden="1"/>
    </xf>
    <xf numFmtId="0" fontId="14" fillId="2" borderId="0" xfId="0" applyFont="1" applyFill="1" applyAlignment="1" applyProtection="1">
      <alignment horizontal="center" vertical="center" wrapText="1"/>
      <protection hidden="1"/>
    </xf>
    <xf numFmtId="0" fontId="0" fillId="2" borderId="0" xfId="0" applyFill="1" applyAlignment="1" applyProtection="1">
      <alignment horizontal="left" vertical="center" wrapText="1"/>
      <protection hidden="1"/>
    </xf>
    <xf numFmtId="1" fontId="0" fillId="4" borderId="0" xfId="0" applyNumberFormat="1" applyFill="1" applyAlignment="1" applyProtection="1">
      <alignment horizontal="center" vertical="center" wrapText="1"/>
      <protection locked="0"/>
    </xf>
    <xf numFmtId="1" fontId="0" fillId="6" borderId="0" xfId="0" applyNumberFormat="1" applyFill="1" applyAlignment="1" applyProtection="1">
      <alignment horizontal="center" vertical="center" wrapText="1"/>
      <protection locked="0"/>
    </xf>
    <xf numFmtId="0" fontId="22" fillId="2" borderId="0" xfId="0" applyFont="1" applyFill="1" applyAlignment="1" applyProtection="1">
      <alignment horizontal="center" vertical="center" wrapText="1"/>
      <protection hidden="1"/>
    </xf>
    <xf numFmtId="0" fontId="22" fillId="2" borderId="0" xfId="0" applyFont="1" applyFill="1" applyAlignment="1" applyProtection="1">
      <alignment horizontal="center" vertical="top" wrapText="1"/>
      <protection hidden="1"/>
    </xf>
    <xf numFmtId="0" fontId="22" fillId="2" borderId="0" xfId="0" applyFont="1" applyFill="1" applyAlignment="1" applyProtection="1">
      <alignment horizontal="left" vertical="center" wrapText="1"/>
      <protection hidden="1"/>
    </xf>
    <xf numFmtId="0" fontId="26" fillId="2" borderId="0" xfId="0" applyFont="1" applyFill="1" applyAlignment="1" applyProtection="1">
      <alignment horizontal="center" vertical="center" wrapText="1"/>
      <protection hidden="1"/>
    </xf>
    <xf numFmtId="0" fontId="0" fillId="8" borderId="1" xfId="0" applyFill="1" applyBorder="1" applyAlignment="1" applyProtection="1">
      <alignment horizontal="center" vertical="center" wrapText="1"/>
      <protection hidden="1"/>
    </xf>
    <xf numFmtId="0" fontId="0" fillId="5" borderId="0" xfId="0" applyFill="1" applyAlignment="1" applyProtection="1">
      <alignment horizontal="center" vertical="center" wrapText="1"/>
      <protection hidden="1"/>
    </xf>
    <xf numFmtId="0" fontId="22" fillId="5" borderId="0" xfId="0" applyFont="1" applyFill="1" applyAlignment="1" applyProtection="1">
      <alignment horizontal="center" vertical="center" wrapText="1"/>
      <protection hidden="1"/>
    </xf>
    <xf numFmtId="0" fontId="27" fillId="5" borderId="0" xfId="0" applyFont="1" applyFill="1" applyBorder="1" applyAlignment="1" applyProtection="1">
      <alignment horizontal="center" vertical="center" wrapText="1"/>
      <protection hidden="1"/>
    </xf>
    <xf numFmtId="49" fontId="0" fillId="3" borderId="0" xfId="0" applyNumberFormat="1" applyFill="1" applyAlignment="1" applyProtection="1">
      <alignment horizontal="center" vertical="center" wrapText="1"/>
      <protection hidden="1"/>
    </xf>
    <xf numFmtId="49" fontId="3" fillId="6" borderId="0" xfId="0" applyNumberFormat="1" applyFont="1" applyFill="1" applyAlignment="1" applyProtection="1">
      <alignment horizontal="center" vertical="center" wrapText="1"/>
      <protection locked="0"/>
    </xf>
    <xf numFmtId="0" fontId="29" fillId="2" borderId="0" xfId="0" applyFont="1" applyFill="1" applyAlignment="1" applyProtection="1">
      <alignment horizontal="center" vertical="center" shrinkToFit="1"/>
      <protection hidden="1"/>
    </xf>
    <xf numFmtId="0" fontId="30" fillId="2" borderId="0" xfId="0" applyFont="1" applyFill="1" applyAlignment="1" applyProtection="1">
      <alignment horizontal="center" vertical="center" shrinkToFit="1"/>
      <protection hidden="1"/>
    </xf>
    <xf numFmtId="0" fontId="30" fillId="2" borderId="0" xfId="0" applyFont="1" applyFill="1" applyAlignment="1" applyProtection="1">
      <alignment horizontal="center" vertical="center" wrapText="1"/>
      <protection hidden="1"/>
    </xf>
    <xf numFmtId="1" fontId="30" fillId="2" borderId="0" xfId="0" applyNumberFormat="1" applyFont="1" applyFill="1" applyAlignment="1" applyProtection="1">
      <alignment horizontal="center" vertical="center" wrapText="1"/>
      <protection hidden="1"/>
    </xf>
    <xf numFmtId="1" fontId="2" fillId="9" borderId="0" xfId="0" applyNumberFormat="1" applyFont="1" applyFill="1" applyAlignment="1" applyProtection="1">
      <alignment horizontal="center" vertical="center" wrapText="1"/>
      <protection hidden="1"/>
    </xf>
    <xf numFmtId="0" fontId="28" fillId="8" borderId="1" xfId="0" applyFont="1" applyFill="1" applyBorder="1" applyAlignment="1" applyProtection="1">
      <alignment horizontal="center" vertical="center" textRotation="90" wrapText="1"/>
      <protection hidden="1"/>
    </xf>
    <xf numFmtId="0" fontId="28" fillId="8" borderId="1" xfId="0" applyNumberFormat="1" applyFont="1" applyFill="1" applyBorder="1" applyAlignment="1" applyProtection="1">
      <alignment horizontal="center" vertical="center" textRotation="90" wrapText="1"/>
      <protection hidden="1"/>
    </xf>
    <xf numFmtId="0" fontId="28" fillId="8" borderId="1" xfId="0" quotePrefix="1" applyFont="1" applyFill="1" applyBorder="1" applyAlignment="1" applyProtection="1">
      <alignment horizontal="center" vertical="center" textRotation="90" wrapText="1"/>
      <protection hidden="1"/>
    </xf>
    <xf numFmtId="166" fontId="28" fillId="8" borderId="1" xfId="0" applyNumberFormat="1" applyFont="1" applyFill="1" applyBorder="1" applyAlignment="1" applyProtection="1">
      <alignment horizontal="center" vertical="center" textRotation="90" wrapText="1"/>
      <protection hidden="1"/>
    </xf>
    <xf numFmtId="167" fontId="27" fillId="3" borderId="1" xfId="0" applyNumberFormat="1" applyFont="1" applyFill="1" applyBorder="1" applyAlignment="1" applyProtection="1">
      <alignment horizontal="center" vertical="center" shrinkToFit="1"/>
      <protection hidden="1"/>
    </xf>
    <xf numFmtId="0" fontId="27" fillId="3" borderId="1" xfId="0" applyFont="1" applyFill="1" applyBorder="1" applyAlignment="1" applyProtection="1">
      <alignment horizontal="center" vertical="center" shrinkToFit="1"/>
      <protection hidden="1"/>
    </xf>
    <xf numFmtId="1" fontId="27" fillId="3" borderId="1" xfId="0" applyNumberFormat="1" applyFont="1" applyFill="1" applyBorder="1" applyAlignment="1" applyProtection="1">
      <alignment horizontal="center" vertical="center" shrinkToFit="1"/>
      <protection hidden="1"/>
    </xf>
    <xf numFmtId="0" fontId="31" fillId="2" borderId="0" xfId="0" applyFont="1" applyFill="1" applyAlignment="1" applyProtection="1">
      <alignment horizontal="center" vertical="center" wrapText="1"/>
      <protection hidden="1"/>
    </xf>
    <xf numFmtId="0" fontId="16" fillId="2" borderId="0" xfId="0" applyFont="1" applyFill="1" applyAlignment="1" applyProtection="1">
      <alignment horizontal="left" vertical="top" wrapText="1"/>
      <protection hidden="1"/>
    </xf>
    <xf numFmtId="1" fontId="0" fillId="7" borderId="0" xfId="0" applyNumberFormat="1" applyFill="1" applyAlignment="1" applyProtection="1">
      <alignment horizontal="center" vertical="center" wrapText="1"/>
      <protection locked="0"/>
    </xf>
    <xf numFmtId="0" fontId="0" fillId="0" borderId="0" xfId="0" applyAlignment="1">
      <alignment horizontal="center" vertical="center"/>
    </xf>
    <xf numFmtId="0" fontId="0" fillId="11" borderId="0" xfId="0" applyFill="1" applyAlignment="1">
      <alignment horizontal="center" vertical="center"/>
    </xf>
    <xf numFmtId="0" fontId="0" fillId="3" borderId="0" xfId="0" applyFill="1" applyAlignment="1">
      <alignment horizontal="center" vertical="center"/>
    </xf>
    <xf numFmtId="0" fontId="3" fillId="3" borderId="0" xfId="0" applyFont="1" applyFill="1" applyAlignment="1">
      <alignment vertical="center"/>
    </xf>
    <xf numFmtId="0" fontId="0" fillId="3" borderId="0" xfId="0" applyFont="1" applyFill="1" applyAlignment="1">
      <alignment horizontal="left" vertical="center"/>
    </xf>
    <xf numFmtId="0" fontId="0" fillId="3" borderId="0" xfId="0" applyFill="1" applyAlignment="1">
      <alignment vertical="center"/>
    </xf>
    <xf numFmtId="0" fontId="0" fillId="3" borderId="0" xfId="0" applyFill="1" applyAlignment="1">
      <alignment horizontal="left" vertical="center"/>
    </xf>
    <xf numFmtId="0" fontId="0" fillId="4" borderId="0" xfId="0" applyFill="1" applyAlignment="1">
      <alignment horizontal="center" vertical="center"/>
    </xf>
    <xf numFmtId="0" fontId="3" fillId="3" borderId="0" xfId="0" applyFont="1" applyFill="1" applyAlignment="1">
      <alignment horizontal="left" vertical="center"/>
    </xf>
    <xf numFmtId="49" fontId="0" fillId="3" borderId="0" xfId="0" applyNumberFormat="1" applyFill="1" applyAlignment="1">
      <alignment horizontal="left" vertical="center"/>
    </xf>
    <xf numFmtId="1" fontId="0" fillId="3" borderId="0" xfId="0" applyNumberFormat="1" applyFill="1" applyAlignment="1">
      <alignment horizontal="center" vertical="center"/>
    </xf>
    <xf numFmtId="0" fontId="3" fillId="3" borderId="0" xfId="0" applyFont="1" applyFill="1" applyAlignment="1">
      <alignment horizontal="left" vertical="center" wrapText="1"/>
    </xf>
    <xf numFmtId="0" fontId="0" fillId="3" borderId="2" xfId="0" applyFill="1" applyBorder="1" applyAlignment="1">
      <alignment horizontal="center" vertical="center"/>
    </xf>
    <xf numFmtId="0" fontId="12" fillId="2" borderId="0" xfId="0" applyFont="1" applyFill="1" applyAlignment="1" applyProtection="1">
      <alignment horizontal="left" vertical="center" wrapText="1"/>
      <protection hidden="1"/>
    </xf>
    <xf numFmtId="0" fontId="3" fillId="6" borderId="0" xfId="0" applyFont="1" applyFill="1" applyAlignment="1" applyProtection="1">
      <alignment horizontal="center" vertical="center" wrapText="1"/>
      <protection locked="0"/>
    </xf>
    <xf numFmtId="0" fontId="0" fillId="2" borderId="0" xfId="0" applyFill="1" applyAlignment="1" applyProtection="1">
      <alignment horizontal="center" vertical="center" wrapText="1"/>
      <protection hidden="1"/>
    </xf>
    <xf numFmtId="0" fontId="12" fillId="2" borderId="0" xfId="0" applyFont="1" applyFill="1" applyAlignment="1" applyProtection="1">
      <alignment horizontal="left" vertical="center" wrapText="1"/>
      <protection hidden="1"/>
    </xf>
    <xf numFmtId="3" fontId="0" fillId="10" borderId="0" xfId="0" applyNumberFormat="1" applyFill="1" applyAlignment="1" applyProtection="1">
      <alignment horizontal="center" vertical="center" wrapText="1"/>
      <protection hidden="1"/>
    </xf>
    <xf numFmtId="165" fontId="0" fillId="4" borderId="0" xfId="0" applyNumberFormat="1" applyFill="1" applyAlignment="1" applyProtection="1">
      <alignment horizontal="center" vertical="center" wrapText="1"/>
      <protection locked="0"/>
    </xf>
    <xf numFmtId="0" fontId="23" fillId="2" borderId="0" xfId="0" applyFont="1" applyFill="1" applyAlignment="1" applyProtection="1">
      <alignment horizontal="left" vertical="center" wrapText="1"/>
      <protection hidden="1"/>
    </xf>
    <xf numFmtId="0" fontId="18" fillId="2" borderId="0" xfId="0" applyFont="1" applyFill="1" applyAlignment="1" applyProtection="1">
      <alignment horizontal="left" vertical="center" wrapText="1"/>
      <protection hidden="1"/>
    </xf>
    <xf numFmtId="0" fontId="5" fillId="2" borderId="0" xfId="0" applyFont="1" applyFill="1" applyAlignment="1" applyProtection="1">
      <alignment horizontal="left" vertical="top" wrapText="1"/>
      <protection hidden="1"/>
    </xf>
    <xf numFmtId="0" fontId="0" fillId="4" borderId="0" xfId="0" applyFill="1" applyAlignment="1" applyProtection="1">
      <alignment horizontal="center" vertical="center" wrapText="1"/>
      <protection locked="0"/>
    </xf>
    <xf numFmtId="0" fontId="0" fillId="6" borderId="0" xfId="0" applyFill="1" applyAlignment="1" applyProtection="1">
      <alignment horizontal="center" vertical="center" wrapText="1"/>
      <protection locked="0"/>
    </xf>
    <xf numFmtId="0" fontId="20" fillId="2" borderId="0" xfId="0" applyFont="1" applyFill="1" applyAlignment="1" applyProtection="1">
      <alignment horizontal="left" vertical="top" wrapText="1"/>
      <protection hidden="1"/>
    </xf>
    <xf numFmtId="0" fontId="7" fillId="0" borderId="0" xfId="0" applyFont="1" applyFill="1" applyAlignment="1" applyProtection="1">
      <alignment horizontal="left" vertical="center" wrapText="1"/>
      <protection locked="0"/>
    </xf>
    <xf numFmtId="0" fontId="9" fillId="2" borderId="0" xfId="0" applyFont="1" applyFill="1" applyAlignment="1" applyProtection="1">
      <alignment horizontal="left" vertical="top" wrapText="1"/>
      <protection hidden="1"/>
    </xf>
    <xf numFmtId="0" fontId="12" fillId="2" borderId="0" xfId="0" applyFont="1" applyFill="1" applyAlignment="1" applyProtection="1">
      <alignment horizontal="left" vertical="top" wrapText="1"/>
      <protection hidden="1"/>
    </xf>
    <xf numFmtId="0" fontId="24" fillId="2" borderId="0" xfId="0" applyFont="1" applyFill="1" applyAlignment="1" applyProtection="1">
      <alignment horizontal="left" vertical="center" wrapText="1"/>
      <protection hidden="1"/>
    </xf>
    <xf numFmtId="0" fontId="9" fillId="2" borderId="0" xfId="0" applyFont="1" applyFill="1" applyAlignment="1" applyProtection="1">
      <alignment horizontal="left" vertical="center" wrapText="1"/>
      <protection hidden="1"/>
    </xf>
    <xf numFmtId="1" fontId="0" fillId="4" borderId="0" xfId="0" applyNumberFormat="1" applyFill="1" applyAlignment="1" applyProtection="1">
      <alignment horizontal="center" vertical="center" wrapText="1"/>
      <protection locked="0"/>
    </xf>
    <xf numFmtId="0" fontId="0" fillId="4" borderId="0" xfId="0" applyFill="1" applyAlignment="1" applyProtection="1">
      <alignment horizontal="center" vertical="center" wrapText="1"/>
      <protection hidden="1"/>
    </xf>
    <xf numFmtId="0" fontId="4" fillId="2" borderId="0" xfId="0" applyFont="1" applyFill="1" applyAlignment="1" applyProtection="1">
      <alignment horizontal="center" vertical="center" wrapText="1"/>
      <protection hidden="1"/>
    </xf>
    <xf numFmtId="0" fontId="5" fillId="2" borderId="0" xfId="0" applyFont="1" applyFill="1" applyAlignment="1" applyProtection="1">
      <alignment horizontal="left" vertical="center" wrapText="1"/>
      <protection hidden="1"/>
    </xf>
    <xf numFmtId="0" fontId="6" fillId="2" borderId="0" xfId="0" applyFont="1" applyFill="1" applyAlignment="1" applyProtection="1">
      <alignment horizontal="left" vertical="top" wrapText="1"/>
      <protection hidden="1"/>
    </xf>
    <xf numFmtId="0" fontId="31" fillId="2" borderId="0" xfId="0" applyFont="1" applyFill="1" applyAlignment="1" applyProtection="1">
      <alignment horizontal="left" vertical="top" wrapText="1"/>
      <protection hidden="1"/>
    </xf>
    <xf numFmtId="0" fontId="11" fillId="2" borderId="0" xfId="0" applyFont="1" applyFill="1" applyAlignment="1" applyProtection="1">
      <alignment horizontal="left" vertical="center" wrapText="1"/>
      <protection hidden="1"/>
    </xf>
    <xf numFmtId="0" fontId="6" fillId="2" borderId="0" xfId="0" applyFont="1" applyFill="1" applyAlignment="1" applyProtection="1">
      <alignment horizontal="left" vertical="center" wrapText="1"/>
      <protection hidden="1"/>
    </xf>
    <xf numFmtId="0" fontId="3" fillId="6" borderId="0" xfId="0" applyFont="1" applyFill="1" applyAlignment="1" applyProtection="1">
      <alignment horizontal="center" vertical="center" wrapText="1"/>
      <protection locked="0"/>
    </xf>
    <xf numFmtId="167" fontId="0" fillId="4" borderId="0" xfId="0" applyNumberFormat="1" applyFill="1" applyAlignment="1" applyProtection="1">
      <alignment horizontal="center" vertical="center" wrapText="1"/>
      <protection locked="0"/>
    </xf>
    <xf numFmtId="0" fontId="19" fillId="4" borderId="0" xfId="23" applyFill="1" applyAlignment="1" applyProtection="1">
      <alignment horizontal="center" vertical="center" wrapText="1"/>
      <protection locked="0"/>
    </xf>
    <xf numFmtId="0" fontId="9" fillId="2" borderId="0" xfId="0" applyFont="1" applyFill="1" applyAlignment="1" applyProtection="1">
      <alignment horizontal="center" vertical="center" wrapText="1"/>
      <protection hidden="1"/>
    </xf>
    <xf numFmtId="0" fontId="33" fillId="2" borderId="0" xfId="0" applyFont="1" applyFill="1" applyAlignment="1" applyProtection="1">
      <alignment horizontal="center" vertical="center" wrapText="1"/>
      <protection hidden="1"/>
    </xf>
    <xf numFmtId="0" fontId="33" fillId="2" borderId="0" xfId="0" applyFont="1" applyFill="1" applyAlignment="1" applyProtection="1">
      <alignment horizontal="left" vertical="top" wrapText="1"/>
      <protection hidden="1"/>
    </xf>
    <xf numFmtId="0" fontId="34" fillId="2" borderId="0" xfId="0" applyFont="1" applyFill="1" applyAlignment="1" applyProtection="1">
      <alignment horizontal="left" vertical="top" wrapText="1"/>
      <protection hidden="1"/>
    </xf>
    <xf numFmtId="0" fontId="17" fillId="7" borderId="0" xfId="0" applyFont="1" applyFill="1" applyAlignment="1" applyProtection="1">
      <alignment horizontal="center" vertical="center" wrapText="1" shrinkToFit="1"/>
      <protection locked="0"/>
    </xf>
    <xf numFmtId="0" fontId="18" fillId="2" borderId="0" xfId="0" applyFont="1" applyFill="1" applyAlignment="1" applyProtection="1">
      <alignment horizontal="left" vertical="top" wrapText="1"/>
      <protection hidden="1"/>
    </xf>
    <xf numFmtId="0" fontId="31" fillId="2" borderId="0" xfId="0" applyFont="1" applyFill="1" applyAlignment="1" applyProtection="1">
      <alignment horizontal="left" vertical="center" wrapText="1"/>
      <protection hidden="1"/>
    </xf>
    <xf numFmtId="0" fontId="33" fillId="2" borderId="0" xfId="0" applyFont="1" applyFill="1" applyAlignment="1" applyProtection="1">
      <alignment horizontal="left" vertical="center" wrapText="1"/>
      <protection hidden="1"/>
    </xf>
    <xf numFmtId="0" fontId="2" fillId="2" borderId="0" xfId="0" applyFont="1" applyFill="1" applyAlignment="1" applyProtection="1">
      <alignment horizontal="center" vertical="center" wrapText="1"/>
      <protection hidden="1"/>
    </xf>
    <xf numFmtId="0" fontId="0" fillId="2" borderId="0" xfId="0" applyFill="1" applyAlignment="1" applyProtection="1">
      <alignment horizontal="center" vertical="center" wrapText="1"/>
      <protection hidden="1"/>
    </xf>
    <xf numFmtId="0" fontId="37" fillId="3" borderId="0" xfId="0" applyFont="1" applyFill="1" applyAlignment="1">
      <alignment horizontal="left" vertical="center"/>
    </xf>
    <xf numFmtId="0" fontId="36" fillId="4" borderId="0" xfId="0" applyFont="1" applyFill="1" applyAlignment="1">
      <alignment horizontal="left" vertical="center"/>
    </xf>
    <xf numFmtId="0" fontId="35" fillId="11" borderId="0" xfId="0" applyFont="1" applyFill="1" applyAlignment="1">
      <alignment horizontal="left" vertical="center"/>
    </xf>
    <xf numFmtId="0" fontId="36" fillId="4" borderId="0" xfId="0" applyFont="1" applyFill="1" applyAlignment="1">
      <alignment vertical="center"/>
    </xf>
    <xf numFmtId="0" fontId="7" fillId="3" borderId="3" xfId="0" applyFont="1" applyFill="1" applyBorder="1" applyAlignment="1">
      <alignment horizontal="left" vertical="top" wrapText="1"/>
    </xf>
    <xf numFmtId="0" fontId="7" fillId="3" borderId="4" xfId="0" applyFont="1" applyFill="1" applyBorder="1" applyAlignment="1">
      <alignment horizontal="left" vertical="top" wrapText="1"/>
    </xf>
    <xf numFmtId="0" fontId="0" fillId="3" borderId="0" xfId="0" applyFont="1" applyFill="1" applyAlignment="1">
      <alignment horizontal="left" vertical="center"/>
    </xf>
    <xf numFmtId="0" fontId="7" fillId="3" borderId="0" xfId="0" applyFont="1" applyFill="1" applyAlignment="1">
      <alignment horizontal="left" vertical="top" wrapText="1"/>
    </xf>
    <xf numFmtId="0" fontId="7" fillId="3" borderId="0" xfId="0" applyFont="1" applyFill="1" applyAlignment="1">
      <alignment horizontal="left" vertical="center" wrapText="1"/>
    </xf>
  </cellXfs>
  <cellStyles count="24">
    <cellStyle name="Gevolgde hyperlink" xfId="1" builtinId="9" hidden="1"/>
    <cellStyle name="Gevolgde hyperlink" xfId="2" builtinId="9" hidden="1"/>
    <cellStyle name="Gevolgde hyperlink" xfId="3" builtinId="9" hidden="1"/>
    <cellStyle name="Gevolgde hyperlink" xfId="4" builtinId="9" hidden="1"/>
    <cellStyle name="Gevolgde hyperlink" xfId="5" builtinId="9" hidden="1"/>
    <cellStyle name="Gevolgde hyperlink" xfId="6" builtinId="9" hidden="1"/>
    <cellStyle name="Gevolgde hyperlink" xfId="7" builtinId="9" hidden="1"/>
    <cellStyle name="Gevolgde hyperlink" xfId="8" builtinId="9" hidden="1"/>
    <cellStyle name="Gevolgde hyperlink" xfId="9" builtinId="9" hidden="1"/>
    <cellStyle name="Gevolgde hyperlink" xfId="10" builtinId="9" hidden="1"/>
    <cellStyle name="Gevolgde hyperlink" xfId="11" builtinId="9" hidden="1"/>
    <cellStyle name="Gevolgde hyperlink" xfId="12" builtinId="9" hidden="1"/>
    <cellStyle name="Gevolgde hyperlink" xfId="13" builtinId="9" hidden="1"/>
    <cellStyle name="Gevolgde hyperlink" xfId="14" builtinId="9" hidden="1"/>
    <cellStyle name="Gevolgde hyperlink" xfId="15" builtinId="9" hidden="1"/>
    <cellStyle name="Gevolgde hyperlink" xfId="16" builtinId="9" hidden="1"/>
    <cellStyle name="Gevolgde hyperlink" xfId="17" builtinId="9" hidden="1"/>
    <cellStyle name="Gevolgde hyperlink" xfId="18" builtinId="9" hidden="1"/>
    <cellStyle name="Gevolgde hyperlink" xfId="19" builtinId="9" hidden="1"/>
    <cellStyle name="Gevolgde hyperlink" xfId="20" builtinId="9" hidden="1"/>
    <cellStyle name="Gevolgde hyperlink" xfId="21" builtinId="9" hidden="1"/>
    <cellStyle name="Gevolgde hyperlink" xfId="22" builtinId="9" hidden="1"/>
    <cellStyle name="Hyperlink" xfId="23" builtinId="8"/>
    <cellStyle name="Standaard" xfId="0" builtinId="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178</xdr:row>
          <xdr:rowOff>0</xdr:rowOff>
        </xdr:from>
        <xdr:to>
          <xdr:col>8</xdr:col>
          <xdr:colOff>28575</xdr:colOff>
          <xdr:row>181</xdr:row>
          <xdr:rowOff>179732</xdr:rowOff>
        </xdr:to>
        <xdr:sp macro="" textlink="">
          <xdr:nvSpPr>
            <xdr:cNvPr id="1026" name="CommandButton1"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GD212"/>
  <sheetViews>
    <sheetView tabSelected="1" topLeftCell="A4" zoomScale="115" zoomScaleNormal="115" workbookViewId="0">
      <selection activeCell="D19" sqref="D19:H19"/>
    </sheetView>
  </sheetViews>
  <sheetFormatPr defaultColWidth="8.85546875" defaultRowHeight="15" x14ac:dyDescent="0.25"/>
  <cols>
    <col min="1" max="1" width="8.85546875" style="52"/>
    <col min="2" max="3" width="10.5703125" style="52" customWidth="1"/>
    <col min="4" max="4" width="14.42578125" style="52" customWidth="1"/>
    <col min="5" max="5" width="1.28515625" style="52" customWidth="1"/>
    <col min="6" max="6" width="14.42578125" style="52" customWidth="1"/>
    <col min="7" max="7" width="1.28515625" style="52" customWidth="1"/>
    <col min="8" max="8" width="14.42578125" style="52" customWidth="1"/>
    <col min="9" max="9" width="1.28515625" style="52" customWidth="1"/>
    <col min="10" max="10" width="8.85546875" style="12"/>
    <col min="11" max="11" width="8.85546875" style="12" customWidth="1"/>
    <col min="12" max="12" width="8.85546875" style="12"/>
    <col min="13" max="16384" width="8.85546875" style="52"/>
  </cols>
  <sheetData>
    <row r="1" spans="2:186" ht="21" hidden="1" customHeight="1" x14ac:dyDescent="0.25">
      <c r="FE1" s="1" t="str">
        <f>IF(FB2=$D$101,"A","")</f>
        <v/>
      </c>
      <c r="FF1" s="1" t="str">
        <f>IF(FC2=$D$101,"B","")</f>
        <v/>
      </c>
      <c r="FG1" s="1" t="str">
        <f>IF(FD2=$D$101,"C","")</f>
        <v/>
      </c>
      <c r="FH1" s="1" t="str">
        <f>IF(FE2=$D$101,"D","")</f>
        <v/>
      </c>
      <c r="FI1" s="1" t="str">
        <f>IF(FF2=$D$101,"E","")</f>
        <v/>
      </c>
      <c r="FJ1" s="1" t="str">
        <f>IF(FG2=$D$101,"F","")</f>
        <v/>
      </c>
      <c r="FK1" s="1" t="str">
        <f>IF(FH2=$D$101,"G","")</f>
        <v/>
      </c>
      <c r="FL1" s="1" t="str">
        <f>IF(FI2=$D$101,"H","")</f>
        <v/>
      </c>
      <c r="FM1" s="1" t="str">
        <f>IF(FJ2=$D$101,"I","")</f>
        <v/>
      </c>
      <c r="FN1" s="1" t="str">
        <f>IF(FK2=$D$101,"J","")</f>
        <v/>
      </c>
      <c r="FO1" s="1" t="str">
        <f>IF(FL2=$D$101,"K","")</f>
        <v/>
      </c>
      <c r="FP1" s="1" t="str">
        <f>IF(FM2=$D$101,"L","")</f>
        <v/>
      </c>
      <c r="FQ1" s="1" t="str">
        <f>IF(FN2=$D$101,"M","")</f>
        <v/>
      </c>
      <c r="FR1" s="1" t="str">
        <f>IF(FO2=$D$101,"N","")</f>
        <v/>
      </c>
      <c r="FS1" s="1" t="str">
        <f>IF(FP2=$D$101,"O","")</f>
        <v/>
      </c>
      <c r="FT1" s="1" t="str">
        <f>IF(FQ2=$D$101,"P","")</f>
        <v/>
      </c>
      <c r="FU1" s="1" t="str">
        <f>IF(FR2=$D$101,"Q","")</f>
        <v/>
      </c>
      <c r="FV1" s="1" t="str">
        <f>IF(FS2=$D$101,"R","")</f>
        <v/>
      </c>
      <c r="FW1" s="1" t="str">
        <f>IF(FT2=$D$101,"S","")</f>
        <v/>
      </c>
      <c r="FX1" s="1" t="str">
        <f>IF(FU2=$D$101,"T","")</f>
        <v/>
      </c>
      <c r="FY1" s="1" t="str">
        <f>IF(FV2=$D$101,"U","")</f>
        <v/>
      </c>
    </row>
    <row r="2" spans="2:186" s="2" customFormat="1" ht="15.6" hidden="1" customHeight="1" x14ac:dyDescent="0.25">
      <c r="B2" s="2" t="s">
        <v>11</v>
      </c>
      <c r="C2" s="2" t="s">
        <v>16</v>
      </c>
      <c r="D2" s="3">
        <v>1</v>
      </c>
      <c r="E2" s="3">
        <v>2</v>
      </c>
      <c r="F2" s="3">
        <v>3</v>
      </c>
      <c r="G2" s="3">
        <v>4</v>
      </c>
      <c r="H2" s="3">
        <v>5</v>
      </c>
      <c r="I2" s="3">
        <v>6</v>
      </c>
      <c r="J2" s="3">
        <v>7</v>
      </c>
      <c r="K2" s="3">
        <v>8</v>
      </c>
      <c r="L2" s="3">
        <v>9</v>
      </c>
      <c r="M2" s="3">
        <v>10</v>
      </c>
      <c r="N2" s="3">
        <v>11</v>
      </c>
      <c r="O2" s="3">
        <v>12</v>
      </c>
      <c r="P2" s="3">
        <v>13</v>
      </c>
      <c r="Q2" s="3">
        <v>14</v>
      </c>
      <c r="R2" s="3">
        <v>15</v>
      </c>
      <c r="S2" s="3">
        <v>16</v>
      </c>
      <c r="T2" s="3">
        <v>17</v>
      </c>
      <c r="U2" s="3">
        <v>18</v>
      </c>
      <c r="V2" s="3">
        <v>19</v>
      </c>
      <c r="W2" s="3">
        <v>20</v>
      </c>
      <c r="X2" s="3">
        <v>21</v>
      </c>
      <c r="Y2" s="3">
        <v>22</v>
      </c>
      <c r="Z2" s="3">
        <v>23</v>
      </c>
      <c r="AA2" s="3">
        <v>24</v>
      </c>
      <c r="AB2" s="3">
        <v>25</v>
      </c>
      <c r="AC2" s="3">
        <v>26</v>
      </c>
      <c r="AD2" s="3">
        <v>27</v>
      </c>
      <c r="AE2" s="3">
        <v>28</v>
      </c>
      <c r="AF2" s="3">
        <v>29</v>
      </c>
      <c r="AG2" s="3">
        <v>30</v>
      </c>
      <c r="AH2" s="3">
        <v>31</v>
      </c>
      <c r="AI2" s="20" t="s">
        <v>112</v>
      </c>
      <c r="AJ2" s="20" t="s">
        <v>113</v>
      </c>
      <c r="AK2" s="20" t="s">
        <v>114</v>
      </c>
      <c r="AL2" s="20" t="s">
        <v>115</v>
      </c>
      <c r="AM2" s="20" t="s">
        <v>116</v>
      </c>
      <c r="AN2" s="20" t="s">
        <v>117</v>
      </c>
      <c r="AO2" s="20" t="s">
        <v>118</v>
      </c>
      <c r="AP2" s="20" t="s">
        <v>119</v>
      </c>
      <c r="AQ2" s="20" t="s">
        <v>120</v>
      </c>
      <c r="AR2" s="20" t="s">
        <v>121</v>
      </c>
      <c r="AS2" s="20" t="s">
        <v>122</v>
      </c>
      <c r="AT2" s="20" t="s">
        <v>123</v>
      </c>
      <c r="AU2" s="2">
        <v>2020</v>
      </c>
      <c r="AV2" s="2">
        <v>2019</v>
      </c>
      <c r="AW2" s="2">
        <v>2018</v>
      </c>
      <c r="AX2" s="2">
        <v>2017</v>
      </c>
      <c r="AY2" s="2">
        <v>2016</v>
      </c>
      <c r="AZ2" s="2">
        <v>2015</v>
      </c>
      <c r="BA2" s="2">
        <v>2014</v>
      </c>
      <c r="BB2" s="2">
        <v>2013</v>
      </c>
      <c r="BC2" s="2">
        <v>2012</v>
      </c>
      <c r="BD2" s="2">
        <v>2011</v>
      </c>
      <c r="BE2" s="2">
        <v>2010</v>
      </c>
      <c r="BF2" s="2">
        <v>2009</v>
      </c>
      <c r="BG2" s="2">
        <v>2008</v>
      </c>
      <c r="BH2" s="2">
        <v>2007</v>
      </c>
      <c r="BI2" s="2">
        <v>2006</v>
      </c>
      <c r="BJ2" s="2">
        <v>2005</v>
      </c>
      <c r="BK2" s="2">
        <v>2004</v>
      </c>
      <c r="BL2" s="2">
        <v>2003</v>
      </c>
      <c r="BM2" s="2">
        <v>2002</v>
      </c>
      <c r="BN2" s="2">
        <v>2001</v>
      </c>
      <c r="BO2" s="2">
        <v>2000</v>
      </c>
      <c r="BP2" s="2">
        <v>1999</v>
      </c>
      <c r="BQ2" s="2">
        <v>1998</v>
      </c>
      <c r="BR2" s="2">
        <v>1997</v>
      </c>
      <c r="BS2" s="2">
        <v>1996</v>
      </c>
      <c r="BT2" s="2">
        <v>1995</v>
      </c>
      <c r="BU2" s="2">
        <v>1994</v>
      </c>
      <c r="BV2" s="2">
        <v>1993</v>
      </c>
      <c r="BW2" s="2">
        <v>1992</v>
      </c>
      <c r="BX2" s="2">
        <v>1991</v>
      </c>
      <c r="BY2" s="2">
        <v>1990</v>
      </c>
      <c r="BZ2" s="2">
        <v>1989</v>
      </c>
      <c r="CA2" s="2">
        <v>1988</v>
      </c>
      <c r="CB2" s="2">
        <v>1987</v>
      </c>
      <c r="CC2" s="2">
        <v>1986</v>
      </c>
      <c r="CD2" s="2">
        <v>1985</v>
      </c>
      <c r="CE2" s="2">
        <v>1984</v>
      </c>
      <c r="CF2" s="2">
        <v>1983</v>
      </c>
      <c r="CG2" s="2">
        <v>1982</v>
      </c>
      <c r="CH2" s="2">
        <v>1981</v>
      </c>
      <c r="CI2" s="2">
        <v>1980</v>
      </c>
      <c r="CJ2" s="2">
        <v>1979</v>
      </c>
      <c r="CK2" s="2">
        <v>1978</v>
      </c>
      <c r="CL2" s="2">
        <v>1977</v>
      </c>
      <c r="CM2" s="2">
        <v>1976</v>
      </c>
      <c r="CN2" s="2">
        <v>1975</v>
      </c>
      <c r="CO2" s="2">
        <v>1974</v>
      </c>
      <c r="CP2" s="2">
        <v>1973</v>
      </c>
      <c r="CQ2" s="2">
        <v>1972</v>
      </c>
      <c r="CR2" s="2">
        <v>1971</v>
      </c>
      <c r="CS2" s="2">
        <v>1970</v>
      </c>
      <c r="CT2" s="2">
        <v>1969</v>
      </c>
      <c r="CU2" s="2">
        <v>1968</v>
      </c>
      <c r="CV2" s="2">
        <v>1967</v>
      </c>
      <c r="CW2" s="2">
        <v>1966</v>
      </c>
      <c r="CX2" s="2">
        <v>1965</v>
      </c>
      <c r="CY2" s="2">
        <v>1964</v>
      </c>
      <c r="CZ2" s="2">
        <v>1963</v>
      </c>
      <c r="DA2" s="2">
        <v>1962</v>
      </c>
      <c r="DB2" s="2">
        <v>1961</v>
      </c>
      <c r="DC2" s="2">
        <v>1960</v>
      </c>
      <c r="DD2" s="2">
        <v>1959</v>
      </c>
      <c r="DE2" s="2">
        <v>1958</v>
      </c>
      <c r="DF2" s="2">
        <v>1957</v>
      </c>
      <c r="DG2" s="2">
        <v>1956</v>
      </c>
      <c r="DH2" s="2">
        <v>1955</v>
      </c>
      <c r="DI2" s="2">
        <v>1954</v>
      </c>
      <c r="DJ2" s="2">
        <v>1953</v>
      </c>
      <c r="DK2" s="2">
        <v>1952</v>
      </c>
      <c r="DL2" s="2">
        <v>1951</v>
      </c>
      <c r="DM2" s="2">
        <v>1950</v>
      </c>
      <c r="DN2" s="2">
        <v>1949</v>
      </c>
      <c r="DO2" s="2">
        <v>1948</v>
      </c>
      <c r="DP2" s="2">
        <v>1947</v>
      </c>
      <c r="DQ2" s="2">
        <v>1946</v>
      </c>
      <c r="DR2" s="2">
        <v>1945</v>
      </c>
      <c r="DS2" s="2">
        <v>1944</v>
      </c>
      <c r="DT2" s="2">
        <v>1943</v>
      </c>
      <c r="DU2" s="2">
        <v>1942</v>
      </c>
      <c r="DV2" s="2">
        <v>1941</v>
      </c>
      <c r="DW2" s="2">
        <v>1940</v>
      </c>
      <c r="DX2" s="2" t="s">
        <v>18</v>
      </c>
      <c r="DY2" s="2" t="s">
        <v>19</v>
      </c>
      <c r="DZ2" s="2" t="s">
        <v>20</v>
      </c>
      <c r="EA2" s="2" t="s">
        <v>21</v>
      </c>
      <c r="EB2" s="2" t="s">
        <v>22</v>
      </c>
      <c r="EC2" s="2" t="s">
        <v>23</v>
      </c>
      <c r="ED2" s="2" t="s">
        <v>24</v>
      </c>
      <c r="EE2" s="2" t="s">
        <v>25</v>
      </c>
      <c r="EF2" s="2" t="s">
        <v>26</v>
      </c>
      <c r="EG2" s="2" t="s">
        <v>15</v>
      </c>
      <c r="EH2" s="2" t="s">
        <v>27</v>
      </c>
      <c r="EI2" s="2" t="s">
        <v>28</v>
      </c>
      <c r="EJ2" s="2" t="s">
        <v>0</v>
      </c>
      <c r="EK2" s="2" t="s">
        <v>1</v>
      </c>
      <c r="EL2" s="2" t="s">
        <v>35</v>
      </c>
      <c r="EM2" s="2" t="s">
        <v>36</v>
      </c>
      <c r="EN2" s="2" t="s">
        <v>37</v>
      </c>
      <c r="EO2" s="2" t="s">
        <v>51</v>
      </c>
      <c r="EP2" s="2" t="s">
        <v>52</v>
      </c>
      <c r="EQ2" s="2" t="s">
        <v>2</v>
      </c>
      <c r="ER2" s="2" t="s">
        <v>3</v>
      </c>
      <c r="ES2" s="2" t="s">
        <v>59</v>
      </c>
      <c r="ET2" s="2" t="s">
        <v>60</v>
      </c>
      <c r="EU2" s="2" t="s">
        <v>64</v>
      </c>
      <c r="EV2" s="2" t="s">
        <v>65</v>
      </c>
      <c r="EW2" s="2" t="s">
        <v>67</v>
      </c>
      <c r="EX2" s="2" t="s">
        <v>68</v>
      </c>
      <c r="EY2" s="2" t="s">
        <v>69</v>
      </c>
      <c r="EZ2" s="2" t="s">
        <v>71</v>
      </c>
      <c r="FA2" s="2" t="s">
        <v>72</v>
      </c>
      <c r="FB2" s="2" t="s">
        <v>73</v>
      </c>
      <c r="FC2" s="2" t="s">
        <v>74</v>
      </c>
      <c r="FD2" s="2" t="s">
        <v>75</v>
      </c>
      <c r="FE2" s="2" t="s">
        <v>76</v>
      </c>
      <c r="FF2" s="2" t="s">
        <v>77</v>
      </c>
      <c r="FG2" s="2" t="s">
        <v>78</v>
      </c>
      <c r="FH2" s="2" t="s">
        <v>79</v>
      </c>
      <c r="FI2" s="2" t="s">
        <v>80</v>
      </c>
      <c r="FJ2" s="2" t="s">
        <v>81</v>
      </c>
      <c r="FK2" s="2" t="s">
        <v>82</v>
      </c>
      <c r="FL2" s="2" t="s">
        <v>83</v>
      </c>
      <c r="FM2" s="2" t="s">
        <v>84</v>
      </c>
      <c r="FN2" s="2" t="s">
        <v>86</v>
      </c>
      <c r="FO2" s="2" t="s">
        <v>85</v>
      </c>
      <c r="FP2" s="2" t="s">
        <v>87</v>
      </c>
      <c r="FQ2" s="2" t="s">
        <v>88</v>
      </c>
      <c r="FR2" s="2" t="s">
        <v>89</v>
      </c>
      <c r="FS2" s="2" t="s">
        <v>90</v>
      </c>
      <c r="FT2" s="2" t="s">
        <v>91</v>
      </c>
      <c r="FU2" s="2" t="s">
        <v>92</v>
      </c>
      <c r="FV2" s="2" t="s">
        <v>93</v>
      </c>
      <c r="FW2" s="2" t="s">
        <v>95</v>
      </c>
      <c r="FX2" s="2" t="s">
        <v>100</v>
      </c>
      <c r="FY2" s="2" t="s">
        <v>96</v>
      </c>
      <c r="FZ2" s="2" t="s">
        <v>99</v>
      </c>
      <c r="GA2" s="2" t="s">
        <v>97</v>
      </c>
      <c r="GB2" s="2" t="s">
        <v>98</v>
      </c>
      <c r="GC2" s="2" t="s">
        <v>191</v>
      </c>
      <c r="GD2" s="2" t="s">
        <v>193</v>
      </c>
    </row>
    <row r="3" spans="2:186" ht="17.45" hidden="1" customHeight="1" x14ac:dyDescent="0.25">
      <c r="FE3" s="1" t="str">
        <f t="shared" ref="FE3:FW3" si="0">IF(FE1&gt;"",FE1,FF3)</f>
        <v/>
      </c>
      <c r="FF3" s="1" t="str">
        <f t="shared" si="0"/>
        <v/>
      </c>
      <c r="FG3" s="1" t="str">
        <f t="shared" si="0"/>
        <v/>
      </c>
      <c r="FH3" s="1" t="str">
        <f t="shared" si="0"/>
        <v/>
      </c>
      <c r="FI3" s="1" t="str">
        <f t="shared" si="0"/>
        <v/>
      </c>
      <c r="FJ3" s="1" t="str">
        <f t="shared" si="0"/>
        <v/>
      </c>
      <c r="FK3" s="1" t="str">
        <f t="shared" si="0"/>
        <v/>
      </c>
      <c r="FL3" s="1" t="str">
        <f t="shared" si="0"/>
        <v/>
      </c>
      <c r="FM3" s="1" t="str">
        <f t="shared" si="0"/>
        <v/>
      </c>
      <c r="FN3" s="1" t="str">
        <f t="shared" si="0"/>
        <v/>
      </c>
      <c r="FO3" s="1" t="str">
        <f t="shared" si="0"/>
        <v/>
      </c>
      <c r="FP3" s="1" t="str">
        <f t="shared" si="0"/>
        <v/>
      </c>
      <c r="FQ3" s="1" t="str">
        <f t="shared" si="0"/>
        <v/>
      </c>
      <c r="FR3" s="1" t="str">
        <f t="shared" si="0"/>
        <v/>
      </c>
      <c r="FS3" s="1" t="str">
        <f t="shared" si="0"/>
        <v/>
      </c>
      <c r="FT3" s="1" t="str">
        <f t="shared" si="0"/>
        <v/>
      </c>
      <c r="FU3" s="1" t="str">
        <f t="shared" si="0"/>
        <v/>
      </c>
      <c r="FV3" s="1" t="str">
        <f t="shared" si="0"/>
        <v/>
      </c>
      <c r="FW3" s="1" t="str">
        <f t="shared" si="0"/>
        <v/>
      </c>
      <c r="FX3" s="1" t="str">
        <f>IF(FX1&gt;"",FX1,FY3)</f>
        <v/>
      </c>
      <c r="FY3" s="1" t="str">
        <f>FY1</f>
        <v/>
      </c>
    </row>
    <row r="4" spans="2:186" ht="25.9" customHeight="1" x14ac:dyDescent="0.25">
      <c r="FE4" s="1"/>
      <c r="FF4" s="1"/>
      <c r="FG4" s="1"/>
      <c r="FH4" s="1"/>
      <c r="FI4" s="1"/>
      <c r="FJ4" s="1"/>
      <c r="FK4" s="1"/>
      <c r="FL4" s="1"/>
      <c r="FM4" s="1"/>
      <c r="FN4" s="1"/>
      <c r="FO4" s="1"/>
      <c r="FP4" s="1"/>
      <c r="FQ4" s="1"/>
      <c r="FR4" s="1"/>
      <c r="FS4" s="1"/>
      <c r="FT4" s="1"/>
      <c r="FU4" s="1"/>
      <c r="FV4" s="1"/>
      <c r="FW4" s="1"/>
      <c r="FX4" s="1"/>
      <c r="FY4" s="1"/>
    </row>
    <row r="5" spans="2:186" ht="1.1499999999999999" customHeight="1" x14ac:dyDescent="0.25">
      <c r="B5" s="2"/>
      <c r="C5" s="2"/>
      <c r="D5" s="2"/>
      <c r="E5" s="2"/>
      <c r="F5" s="2"/>
      <c r="G5" s="2"/>
      <c r="H5" s="2"/>
    </row>
    <row r="6" spans="2:186" ht="39" customHeight="1" x14ac:dyDescent="0.25">
      <c r="B6" s="69" t="str">
        <f>IF(D41="IBS","ASIS - Graduation Fact Sheet IBS",IF(D41="LABS","ASIS - Graduation Fact Sheet LABS",IF(D41="IFM","ASIS - Graduation Fact Sheet IFM",IF(D41="ABS","ASIS - Graduation Fact Sheet ABS",IF(D41="CML","ASIS - Graduation Fact Sheet CML","ASIS - Graduation Fact Sheet")))))</f>
        <v>ASIS - Graduation Fact Sheet</v>
      </c>
      <c r="C6" s="69"/>
      <c r="D6" s="69"/>
      <c r="E6" s="69"/>
      <c r="F6" s="69"/>
      <c r="G6" s="69"/>
      <c r="H6" s="69"/>
    </row>
    <row r="7" spans="2:186" ht="1.1499999999999999" customHeight="1" x14ac:dyDescent="0.25">
      <c r="B7" s="2"/>
      <c r="C7" s="2"/>
      <c r="D7" s="2"/>
      <c r="E7" s="2"/>
      <c r="F7" s="2"/>
      <c r="G7" s="2"/>
      <c r="H7" s="2"/>
    </row>
    <row r="8" spans="2:186" ht="39" customHeight="1" x14ac:dyDescent="0.25">
      <c r="B8" s="70" t="s">
        <v>168</v>
      </c>
      <c r="C8" s="70"/>
      <c r="D8" s="70"/>
      <c r="E8" s="70"/>
      <c r="F8" s="70"/>
      <c r="G8" s="70"/>
      <c r="H8" s="70"/>
    </row>
    <row r="9" spans="2:186" s="4" customFormat="1" ht="150.6" customHeight="1" x14ac:dyDescent="0.25">
      <c r="B9" s="71" t="s">
        <v>169</v>
      </c>
      <c r="C9" s="71"/>
      <c r="D9" s="71"/>
      <c r="E9" s="71"/>
      <c r="F9" s="71"/>
      <c r="G9" s="71"/>
      <c r="H9" s="71"/>
      <c r="J9" s="13"/>
      <c r="K9" s="13"/>
      <c r="L9" s="13"/>
    </row>
    <row r="10" spans="2:186" ht="3.6" customHeight="1" x14ac:dyDescent="0.25">
      <c r="B10" s="72"/>
      <c r="C10" s="72"/>
      <c r="D10" s="72"/>
      <c r="E10" s="72"/>
      <c r="F10" s="72"/>
      <c r="G10" s="72"/>
      <c r="H10" s="72"/>
    </row>
    <row r="11" spans="2:186" ht="1.1499999999999999" customHeight="1" x14ac:dyDescent="0.25">
      <c r="B11" s="2"/>
      <c r="C11" s="2"/>
      <c r="D11" s="2"/>
      <c r="E11" s="2"/>
      <c r="F11" s="2"/>
      <c r="G11" s="2"/>
      <c r="H11" s="2"/>
    </row>
    <row r="12" spans="2:186" ht="105" customHeight="1" x14ac:dyDescent="0.25">
      <c r="B12" s="73" t="s">
        <v>170</v>
      </c>
      <c r="C12" s="74"/>
      <c r="D12" s="74"/>
      <c r="E12" s="74"/>
      <c r="F12" s="74"/>
      <c r="G12" s="74"/>
      <c r="H12" s="74"/>
    </row>
    <row r="13" spans="2:186" ht="1.1499999999999999" customHeight="1" x14ac:dyDescent="0.25">
      <c r="B13" s="2"/>
      <c r="C13" s="2"/>
      <c r="D13" s="2"/>
      <c r="E13" s="2"/>
      <c r="F13" s="2"/>
      <c r="G13" s="2"/>
      <c r="H13" s="2"/>
    </row>
    <row r="14" spans="2:186" ht="40.9" customHeight="1" x14ac:dyDescent="0.25">
      <c r="B14" s="70" t="s">
        <v>171</v>
      </c>
      <c r="C14" s="70"/>
      <c r="D14" s="70"/>
      <c r="E14" s="70"/>
      <c r="F14" s="70"/>
      <c r="G14" s="70"/>
      <c r="H14" s="70"/>
    </row>
    <row r="15" spans="2:186" ht="1.1499999999999999" customHeight="1" x14ac:dyDescent="0.25">
      <c r="B15" s="2"/>
      <c r="C15" s="2"/>
      <c r="D15" s="2"/>
      <c r="E15" s="2"/>
      <c r="F15" s="2"/>
      <c r="G15" s="2"/>
      <c r="H15" s="2"/>
    </row>
    <row r="16" spans="2:186" ht="50.45" customHeight="1" x14ac:dyDescent="0.25">
      <c r="B16" s="70" t="s">
        <v>172</v>
      </c>
      <c r="C16" s="70"/>
      <c r="D16" s="70"/>
      <c r="E16" s="70"/>
      <c r="F16" s="70"/>
      <c r="G16" s="70"/>
      <c r="H16" s="70"/>
    </row>
    <row r="17" spans="2:11" ht="1.1499999999999999" customHeight="1" x14ac:dyDescent="0.25">
      <c r="B17" s="2"/>
      <c r="C17" s="2"/>
      <c r="D17" s="2"/>
      <c r="E17" s="2"/>
      <c r="F17" s="2"/>
      <c r="G17" s="2"/>
      <c r="H17" s="2"/>
    </row>
    <row r="18" spans="2:11" ht="41.45" customHeight="1" x14ac:dyDescent="0.25">
      <c r="B18" s="65" t="s">
        <v>101</v>
      </c>
      <c r="C18" s="65"/>
      <c r="D18" s="65"/>
      <c r="E18" s="65"/>
      <c r="F18" s="65"/>
      <c r="G18" s="65"/>
      <c r="H18" s="65"/>
    </row>
    <row r="19" spans="2:11" ht="15.75" x14ac:dyDescent="0.25">
      <c r="B19" s="53" t="s">
        <v>109</v>
      </c>
      <c r="C19" s="53"/>
      <c r="D19" s="76"/>
      <c r="E19" s="76"/>
      <c r="F19" s="76"/>
      <c r="G19" s="76"/>
      <c r="H19" s="76"/>
    </row>
    <row r="20" spans="2:11" ht="8.4499999999999993" customHeight="1" x14ac:dyDescent="0.25">
      <c r="B20" s="5"/>
      <c r="C20" s="5"/>
      <c r="H20" s="6" t="s">
        <v>30</v>
      </c>
    </row>
    <row r="21" spans="2:11" ht="15.75" x14ac:dyDescent="0.25">
      <c r="B21" s="53" t="s">
        <v>4</v>
      </c>
      <c r="C21" s="53"/>
      <c r="D21" s="59"/>
      <c r="E21" s="59"/>
      <c r="F21" s="59"/>
      <c r="G21" s="59"/>
      <c r="H21" s="59"/>
    </row>
    <row r="22" spans="2:11" ht="8.4499999999999993" customHeight="1" x14ac:dyDescent="0.25">
      <c r="B22" s="5"/>
      <c r="C22" s="5"/>
      <c r="H22" s="6" t="s">
        <v>30</v>
      </c>
    </row>
    <row r="23" spans="2:11" ht="15.75" x14ac:dyDescent="0.25">
      <c r="B23" s="53" t="s">
        <v>6</v>
      </c>
      <c r="C23" s="53"/>
      <c r="D23" s="59"/>
      <c r="E23" s="59"/>
      <c r="F23" s="59"/>
      <c r="G23" s="59"/>
      <c r="H23" s="59"/>
    </row>
    <row r="24" spans="2:11" ht="8.4499999999999993" customHeight="1" x14ac:dyDescent="0.25">
      <c r="B24" s="5"/>
      <c r="C24" s="5"/>
      <c r="H24" s="6" t="s">
        <v>30</v>
      </c>
    </row>
    <row r="25" spans="2:11" ht="15.75" x14ac:dyDescent="0.25">
      <c r="B25" s="53" t="s">
        <v>7</v>
      </c>
      <c r="C25" s="53"/>
      <c r="D25" s="59"/>
      <c r="E25" s="59"/>
      <c r="F25" s="59"/>
      <c r="G25" s="59"/>
      <c r="H25" s="59"/>
    </row>
    <row r="26" spans="2:11" ht="8.4499999999999993" customHeight="1" x14ac:dyDescent="0.25">
      <c r="B26" s="5"/>
      <c r="C26" s="5"/>
      <c r="H26" s="6" t="s">
        <v>30</v>
      </c>
    </row>
    <row r="27" spans="2:11" ht="15.75" x14ac:dyDescent="0.25">
      <c r="B27" s="53" t="s">
        <v>5</v>
      </c>
      <c r="C27" s="53"/>
      <c r="D27" s="59"/>
      <c r="E27" s="59"/>
      <c r="F27" s="59"/>
      <c r="G27" s="59"/>
      <c r="H27" s="59"/>
    </row>
    <row r="28" spans="2:11" ht="8.4499999999999993" customHeight="1" x14ac:dyDescent="0.25">
      <c r="B28" s="5"/>
      <c r="C28" s="5"/>
      <c r="H28" s="6" t="s">
        <v>30</v>
      </c>
    </row>
    <row r="29" spans="2:11" ht="15.75" x14ac:dyDescent="0.25">
      <c r="B29" s="53" t="s">
        <v>8</v>
      </c>
      <c r="C29" s="53"/>
      <c r="D29" s="75"/>
      <c r="E29" s="75"/>
      <c r="F29" s="75"/>
      <c r="G29" s="75"/>
      <c r="H29" s="75"/>
    </row>
    <row r="30" spans="2:11" ht="8.4499999999999993" customHeight="1" x14ac:dyDescent="0.25">
      <c r="B30" s="5"/>
      <c r="C30" s="5"/>
      <c r="H30" s="6" t="s">
        <v>29</v>
      </c>
    </row>
    <row r="31" spans="2:11" ht="15.75" customHeight="1" x14ac:dyDescent="0.25">
      <c r="B31" s="53" t="s">
        <v>10</v>
      </c>
      <c r="C31" s="53"/>
      <c r="D31" s="51"/>
      <c r="E31" s="7"/>
      <c r="F31" s="51"/>
      <c r="G31" s="7"/>
      <c r="H31" s="51"/>
      <c r="K31" s="22" t="str">
        <f>REPLACE(H31,1,0,REPLACE(" - ",1,0,REPLACE(F31,1,0,REPLACE(" - ",1,0,D31))))</f>
        <v xml:space="preserve"> -  - </v>
      </c>
    </row>
    <row r="32" spans="2:11" ht="8.4499999999999993" customHeight="1" x14ac:dyDescent="0.25">
      <c r="B32" s="5"/>
      <c r="C32" s="5"/>
      <c r="D32" s="6" t="s">
        <v>29</v>
      </c>
      <c r="F32" s="6" t="s">
        <v>29</v>
      </c>
      <c r="H32" s="6" t="s">
        <v>29</v>
      </c>
    </row>
    <row r="33" spans="2:8" ht="15.75" x14ac:dyDescent="0.25">
      <c r="B33" s="53" t="s">
        <v>9</v>
      </c>
      <c r="C33" s="53"/>
      <c r="D33" s="59"/>
      <c r="E33" s="59"/>
      <c r="F33" s="59"/>
      <c r="G33" s="59"/>
      <c r="H33" s="59"/>
    </row>
    <row r="34" spans="2:8" ht="8.4499999999999993" customHeight="1" x14ac:dyDescent="0.25">
      <c r="B34" s="5"/>
      <c r="C34" s="5"/>
      <c r="H34" s="6" t="s">
        <v>30</v>
      </c>
    </row>
    <row r="35" spans="2:8" ht="15.75" x14ac:dyDescent="0.25">
      <c r="B35" s="53" t="s">
        <v>40</v>
      </c>
      <c r="C35" s="53"/>
      <c r="D35" s="59"/>
      <c r="E35" s="59"/>
      <c r="F35" s="59"/>
      <c r="G35" s="59"/>
      <c r="H35" s="59"/>
    </row>
    <row r="36" spans="2:8" ht="8.4499999999999993" customHeight="1" x14ac:dyDescent="0.25">
      <c r="B36" s="8"/>
      <c r="C36" s="8"/>
      <c r="H36" s="6" t="s">
        <v>30</v>
      </c>
    </row>
    <row r="37" spans="2:8" ht="15.75" x14ac:dyDescent="0.25">
      <c r="B37" s="53" t="s">
        <v>17</v>
      </c>
      <c r="C37" s="53"/>
      <c r="D37" s="67"/>
      <c r="E37" s="67"/>
      <c r="F37" s="67"/>
      <c r="G37" s="67"/>
      <c r="H37" s="67"/>
    </row>
    <row r="38" spans="2:8" ht="8.4499999999999993" customHeight="1" x14ac:dyDescent="0.25">
      <c r="B38" s="8"/>
      <c r="C38" s="8"/>
      <c r="H38" s="6" t="s">
        <v>30</v>
      </c>
    </row>
    <row r="39" spans="2:8" ht="15.6" customHeight="1" x14ac:dyDescent="0.25">
      <c r="B39" s="53" t="s">
        <v>173</v>
      </c>
      <c r="C39" s="53"/>
      <c r="D39" s="60"/>
      <c r="E39" s="60"/>
      <c r="F39" s="60"/>
      <c r="G39" s="60"/>
      <c r="H39" s="60"/>
    </row>
    <row r="40" spans="2:8" ht="8.4499999999999993" customHeight="1" x14ac:dyDescent="0.25">
      <c r="B40" s="8"/>
      <c r="C40" s="8"/>
      <c r="H40" s="6" t="s">
        <v>30</v>
      </c>
    </row>
    <row r="41" spans="2:8" ht="15.75" x14ac:dyDescent="0.25">
      <c r="B41" s="53" t="s">
        <v>34</v>
      </c>
      <c r="C41" s="53"/>
      <c r="D41" s="75"/>
      <c r="E41" s="75"/>
      <c r="F41" s="75"/>
      <c r="G41" s="75"/>
      <c r="H41" s="75"/>
    </row>
    <row r="42" spans="2:8" ht="8.4499999999999993" customHeight="1" x14ac:dyDescent="0.25">
      <c r="H42" s="6" t="s">
        <v>30</v>
      </c>
    </row>
    <row r="43" spans="2:8" ht="15.75" x14ac:dyDescent="0.25">
      <c r="B43" s="53" t="s">
        <v>166</v>
      </c>
      <c r="C43" s="53"/>
      <c r="D43" s="75"/>
      <c r="E43" s="75"/>
      <c r="F43" s="75"/>
      <c r="G43" s="75"/>
      <c r="H43" s="75"/>
    </row>
    <row r="44" spans="2:8" ht="8.4499999999999993" customHeight="1" x14ac:dyDescent="0.25">
      <c r="B44" s="8"/>
      <c r="C44" s="8"/>
      <c r="H44" s="6" t="s">
        <v>30</v>
      </c>
    </row>
    <row r="45" spans="2:8" ht="15.75" customHeight="1" x14ac:dyDescent="0.25">
      <c r="B45" s="64" t="s">
        <v>192</v>
      </c>
      <c r="C45" s="64"/>
      <c r="D45" s="59"/>
      <c r="E45" s="59"/>
      <c r="F45" s="59"/>
      <c r="G45" s="59"/>
      <c r="H45" s="59"/>
    </row>
    <row r="46" spans="2:8" ht="15.75" customHeight="1" x14ac:dyDescent="0.25">
      <c r="B46" s="64"/>
      <c r="C46" s="64"/>
      <c r="H46" s="6" t="s">
        <v>30</v>
      </c>
    </row>
    <row r="47" spans="2:8" ht="12" customHeight="1" x14ac:dyDescent="0.25">
      <c r="B47" s="8"/>
      <c r="C47" s="8"/>
      <c r="H47" s="6"/>
    </row>
    <row r="48" spans="2:8" ht="55.15" customHeight="1" x14ac:dyDescent="0.25">
      <c r="B48" s="58" t="s">
        <v>174</v>
      </c>
      <c r="C48" s="58"/>
      <c r="D48" s="58"/>
      <c r="E48" s="58"/>
      <c r="F48" s="58"/>
      <c r="G48" s="58"/>
      <c r="H48" s="58"/>
    </row>
    <row r="49" spans="2:8" ht="15.75" x14ac:dyDescent="0.25">
      <c r="B49" s="53" t="s">
        <v>12</v>
      </c>
      <c r="C49" s="53"/>
      <c r="D49" s="59"/>
      <c r="E49" s="59"/>
      <c r="F49" s="59"/>
      <c r="G49" s="59"/>
      <c r="H49" s="59"/>
    </row>
    <row r="50" spans="2:8" ht="8.4499999999999993" customHeight="1" x14ac:dyDescent="0.25">
      <c r="B50" s="8"/>
      <c r="C50" s="8"/>
      <c r="H50" s="6" t="s">
        <v>30</v>
      </c>
    </row>
    <row r="51" spans="2:8" ht="15.75" x14ac:dyDescent="0.25">
      <c r="B51" s="53" t="s">
        <v>13</v>
      </c>
      <c r="C51" s="53"/>
      <c r="D51" s="67"/>
      <c r="E51" s="67"/>
      <c r="F51" s="67"/>
      <c r="G51" s="67"/>
      <c r="H51" s="67"/>
    </row>
    <row r="52" spans="2:8" ht="8.4499999999999993" customHeight="1" x14ac:dyDescent="0.25">
      <c r="B52" s="8"/>
      <c r="C52" s="8"/>
      <c r="H52" s="6" t="s">
        <v>30</v>
      </c>
    </row>
    <row r="53" spans="2:8" ht="15.75" x14ac:dyDescent="0.25">
      <c r="B53" s="53" t="s">
        <v>14</v>
      </c>
      <c r="C53" s="53"/>
      <c r="D53" s="75"/>
      <c r="E53" s="75"/>
      <c r="F53" s="75"/>
      <c r="G53" s="75"/>
      <c r="H53" s="75"/>
    </row>
    <row r="54" spans="2:8" ht="12" customHeight="1" x14ac:dyDescent="0.25">
      <c r="H54" s="6" t="s">
        <v>30</v>
      </c>
    </row>
    <row r="55" spans="2:8" ht="49.9" customHeight="1" x14ac:dyDescent="0.25">
      <c r="B55" s="58" t="s">
        <v>176</v>
      </c>
      <c r="C55" s="58"/>
      <c r="D55" s="58"/>
      <c r="E55" s="58"/>
      <c r="F55" s="58"/>
      <c r="G55" s="58"/>
      <c r="H55" s="58"/>
    </row>
    <row r="56" spans="2:8" ht="15.75" x14ac:dyDescent="0.25">
      <c r="B56" s="53" t="s">
        <v>31</v>
      </c>
      <c r="C56" s="53"/>
      <c r="D56" s="59"/>
      <c r="E56" s="59"/>
      <c r="F56" s="59"/>
      <c r="G56" s="59"/>
      <c r="H56" s="59"/>
    </row>
    <row r="57" spans="2:8" ht="8.4499999999999993" customHeight="1" x14ac:dyDescent="0.25">
      <c r="B57" s="8"/>
      <c r="C57" s="8"/>
      <c r="H57" s="6" t="s">
        <v>30</v>
      </c>
    </row>
    <row r="58" spans="2:8" ht="15.75" x14ac:dyDescent="0.25">
      <c r="B58" s="53" t="s">
        <v>32</v>
      </c>
      <c r="C58" s="53"/>
      <c r="D58" s="59"/>
      <c r="E58" s="59"/>
      <c r="F58" s="59"/>
      <c r="G58" s="59"/>
      <c r="H58" s="59"/>
    </row>
    <row r="59" spans="2:8" ht="8.4499999999999993" customHeight="1" x14ac:dyDescent="0.25">
      <c r="B59" s="8"/>
      <c r="C59" s="8"/>
      <c r="H59" s="6" t="s">
        <v>30</v>
      </c>
    </row>
    <row r="60" spans="2:8" ht="15.75" x14ac:dyDescent="0.25">
      <c r="B60" s="53" t="s">
        <v>33</v>
      </c>
      <c r="C60" s="53"/>
      <c r="D60" s="59"/>
      <c r="E60" s="59"/>
      <c r="F60" s="59"/>
      <c r="G60" s="59"/>
      <c r="H60" s="59"/>
    </row>
    <row r="61" spans="2:8" ht="12" customHeight="1" x14ac:dyDescent="0.25">
      <c r="H61" s="6" t="s">
        <v>30</v>
      </c>
    </row>
    <row r="62" spans="2:8" ht="61.9" customHeight="1" x14ac:dyDescent="0.25">
      <c r="B62" s="58" t="s">
        <v>177</v>
      </c>
      <c r="C62" s="58"/>
      <c r="D62" s="58"/>
      <c r="E62" s="58"/>
      <c r="F62" s="58"/>
      <c r="G62" s="58"/>
      <c r="H62" s="58"/>
    </row>
    <row r="63" spans="2:8" ht="15.75" x14ac:dyDescent="0.25">
      <c r="B63" s="53" t="s">
        <v>31</v>
      </c>
      <c r="C63" s="53"/>
      <c r="D63" s="59"/>
      <c r="E63" s="59"/>
      <c r="F63" s="59"/>
      <c r="G63" s="59"/>
      <c r="H63" s="59"/>
    </row>
    <row r="64" spans="2:8" ht="8.4499999999999993" customHeight="1" x14ac:dyDescent="0.25">
      <c r="B64" s="8"/>
      <c r="C64" s="8"/>
      <c r="H64" s="6" t="s">
        <v>30</v>
      </c>
    </row>
    <row r="65" spans="2:8" ht="15.75" x14ac:dyDescent="0.25">
      <c r="B65" s="53" t="s">
        <v>175</v>
      </c>
      <c r="C65" s="53"/>
      <c r="D65" s="59"/>
      <c r="E65" s="59"/>
      <c r="F65" s="59"/>
      <c r="G65" s="59"/>
      <c r="H65" s="59"/>
    </row>
    <row r="66" spans="2:8" ht="21" hidden="1" customHeight="1" x14ac:dyDescent="0.25">
      <c r="B66" s="8"/>
      <c r="C66" s="8"/>
      <c r="H66" s="6" t="s">
        <v>30</v>
      </c>
    </row>
    <row r="67" spans="2:8" ht="15.75" hidden="1" x14ac:dyDescent="0.25">
      <c r="B67" s="53" t="s">
        <v>33</v>
      </c>
      <c r="C67" s="53"/>
      <c r="D67" s="68"/>
      <c r="E67" s="68"/>
      <c r="F67" s="68"/>
      <c r="G67" s="68"/>
      <c r="H67" s="68"/>
    </row>
    <row r="68" spans="2:8" ht="15" customHeight="1" x14ac:dyDescent="0.25">
      <c r="H68" s="6" t="s">
        <v>30</v>
      </c>
    </row>
    <row r="69" spans="2:8" ht="1.1499999999999999" customHeight="1" x14ac:dyDescent="0.25">
      <c r="B69" s="2"/>
      <c r="C69" s="2"/>
      <c r="D69" s="2"/>
      <c r="E69" s="2"/>
      <c r="F69" s="2"/>
      <c r="G69" s="2"/>
      <c r="H69" s="2"/>
    </row>
    <row r="70" spans="2:8" ht="41.45" customHeight="1" x14ac:dyDescent="0.25">
      <c r="B70" s="65" t="s">
        <v>102</v>
      </c>
      <c r="C70" s="65"/>
      <c r="D70" s="65"/>
      <c r="E70" s="65"/>
      <c r="F70" s="65"/>
      <c r="G70" s="65"/>
      <c r="H70" s="65"/>
    </row>
    <row r="71" spans="2:8" ht="48.6" customHeight="1" x14ac:dyDescent="0.25">
      <c r="B71" s="58" t="s">
        <v>178</v>
      </c>
      <c r="C71" s="58"/>
      <c r="D71" s="58"/>
      <c r="E71" s="58"/>
      <c r="F71" s="58"/>
      <c r="G71" s="58"/>
      <c r="H71" s="58"/>
    </row>
    <row r="72" spans="2:8" ht="15.75" x14ac:dyDescent="0.25">
      <c r="B72" s="53" t="s">
        <v>42</v>
      </c>
      <c r="C72" s="53"/>
      <c r="D72" s="59"/>
      <c r="E72" s="59"/>
      <c r="F72" s="59"/>
      <c r="G72" s="59"/>
      <c r="H72" s="59"/>
    </row>
    <row r="73" spans="2:8" ht="8.4499999999999993" customHeight="1" x14ac:dyDescent="0.25">
      <c r="B73" s="8"/>
      <c r="C73" s="8"/>
      <c r="H73" s="6" t="s">
        <v>30</v>
      </c>
    </row>
    <row r="74" spans="2:8" ht="15.75" x14ac:dyDescent="0.25">
      <c r="B74" s="53" t="s">
        <v>38</v>
      </c>
      <c r="C74" s="53"/>
      <c r="D74" s="59"/>
      <c r="E74" s="59"/>
      <c r="F74" s="59"/>
      <c r="G74" s="59"/>
      <c r="H74" s="59"/>
    </row>
    <row r="75" spans="2:8" ht="8.4499999999999993" customHeight="1" x14ac:dyDescent="0.25">
      <c r="B75" s="8"/>
      <c r="C75" s="8"/>
      <c r="H75" s="6" t="s">
        <v>30</v>
      </c>
    </row>
    <row r="76" spans="2:8" ht="15.75" x14ac:dyDescent="0.25">
      <c r="B76" s="53" t="s">
        <v>39</v>
      </c>
      <c r="C76" s="53"/>
      <c r="D76" s="77"/>
      <c r="E76" s="59"/>
      <c r="F76" s="59"/>
      <c r="G76" s="59"/>
      <c r="H76" s="59"/>
    </row>
    <row r="77" spans="2:8" ht="8.4499999999999993" customHeight="1" x14ac:dyDescent="0.25">
      <c r="B77" s="8"/>
      <c r="C77" s="8"/>
      <c r="H77" s="6" t="s">
        <v>30</v>
      </c>
    </row>
    <row r="78" spans="2:8" ht="15.75" x14ac:dyDescent="0.25">
      <c r="B78" s="53" t="s">
        <v>41</v>
      </c>
      <c r="C78" s="53"/>
      <c r="D78" s="67"/>
      <c r="E78" s="67"/>
      <c r="F78" s="67"/>
      <c r="G78" s="67"/>
      <c r="H78" s="67"/>
    </row>
    <row r="79" spans="2:8" ht="8.4499999999999993" customHeight="1" x14ac:dyDescent="0.25">
      <c r="B79" s="8"/>
      <c r="C79" s="8"/>
      <c r="H79" s="6" t="s">
        <v>30</v>
      </c>
    </row>
    <row r="80" spans="2:8" ht="15.75" x14ac:dyDescent="0.25">
      <c r="B80" s="53" t="s">
        <v>43</v>
      </c>
      <c r="C80" s="53"/>
      <c r="D80" s="59"/>
      <c r="E80" s="59"/>
      <c r="F80" s="59"/>
      <c r="G80" s="59"/>
      <c r="H80" s="59"/>
    </row>
    <row r="81" spans="2:12" ht="16.899999999999999" customHeight="1" x14ac:dyDescent="0.25">
      <c r="B81" s="78"/>
      <c r="C81" s="79"/>
      <c r="H81" s="6" t="s">
        <v>30</v>
      </c>
    </row>
    <row r="82" spans="2:12" ht="15.75" x14ac:dyDescent="0.25">
      <c r="B82" s="53" t="s">
        <v>38</v>
      </c>
      <c r="C82" s="53"/>
      <c r="D82" s="59"/>
      <c r="E82" s="59"/>
      <c r="F82" s="59"/>
      <c r="G82" s="59"/>
      <c r="H82" s="59"/>
    </row>
    <row r="83" spans="2:12" ht="8.4499999999999993" customHeight="1" x14ac:dyDescent="0.25">
      <c r="B83" s="8"/>
      <c r="C83" s="8"/>
      <c r="H83" s="6" t="s">
        <v>30</v>
      </c>
    </row>
    <row r="84" spans="2:12" ht="15.75" x14ac:dyDescent="0.25">
      <c r="B84" s="53" t="s">
        <v>111</v>
      </c>
      <c r="C84" s="53"/>
      <c r="D84" s="77"/>
      <c r="E84" s="59"/>
      <c r="F84" s="59"/>
      <c r="G84" s="59"/>
      <c r="H84" s="59"/>
    </row>
    <row r="85" spans="2:12" ht="8.4499999999999993" customHeight="1" x14ac:dyDescent="0.25">
      <c r="B85" s="8"/>
      <c r="C85" s="8"/>
      <c r="H85" s="6" t="s">
        <v>30</v>
      </c>
    </row>
    <row r="86" spans="2:12" ht="15.75" x14ac:dyDescent="0.25">
      <c r="B86" s="53" t="s">
        <v>41</v>
      </c>
      <c r="C86" s="53"/>
      <c r="D86" s="67"/>
      <c r="E86" s="67"/>
      <c r="F86" s="67"/>
      <c r="G86" s="67"/>
      <c r="H86" s="67"/>
    </row>
    <row r="87" spans="2:12" ht="19.149999999999999" customHeight="1" x14ac:dyDescent="0.25">
      <c r="B87" s="8"/>
      <c r="C87" s="8"/>
      <c r="H87" s="6" t="s">
        <v>30</v>
      </c>
    </row>
    <row r="88" spans="2:12" s="9" customFormat="1" ht="43.9" customHeight="1" x14ac:dyDescent="0.25">
      <c r="B88" s="58" t="s">
        <v>179</v>
      </c>
      <c r="C88" s="58"/>
      <c r="D88" s="58"/>
      <c r="E88" s="58"/>
      <c r="F88" s="58"/>
      <c r="G88" s="58"/>
      <c r="H88" s="58"/>
      <c r="J88" s="14"/>
      <c r="K88" s="14"/>
      <c r="L88" s="14"/>
    </row>
    <row r="89" spans="2:12" ht="15.75" x14ac:dyDescent="0.25">
      <c r="B89" s="53" t="s">
        <v>49</v>
      </c>
      <c r="C89" s="53"/>
      <c r="D89" s="59"/>
      <c r="E89" s="59"/>
      <c r="F89" s="59"/>
      <c r="G89" s="59"/>
      <c r="H89" s="59"/>
    </row>
    <row r="90" spans="2:12" ht="8.4499999999999993" customHeight="1" x14ac:dyDescent="0.25">
      <c r="B90" s="8"/>
      <c r="C90" s="8"/>
      <c r="H90" s="6" t="s">
        <v>30</v>
      </c>
    </row>
    <row r="91" spans="2:12" ht="15.75" x14ac:dyDescent="0.25">
      <c r="B91" s="53" t="s">
        <v>44</v>
      </c>
      <c r="C91" s="53"/>
      <c r="D91" s="59"/>
      <c r="E91" s="59"/>
      <c r="F91" s="59"/>
      <c r="G91" s="59"/>
      <c r="H91" s="59"/>
    </row>
    <row r="92" spans="2:12" ht="8.4499999999999993" customHeight="1" x14ac:dyDescent="0.25">
      <c r="B92" s="8"/>
      <c r="C92" s="8"/>
      <c r="H92" s="6" t="s">
        <v>30</v>
      </c>
    </row>
    <row r="93" spans="2:12" ht="15.75" x14ac:dyDescent="0.25">
      <c r="B93" s="53" t="s">
        <v>45</v>
      </c>
      <c r="C93" s="53"/>
      <c r="D93" s="59"/>
      <c r="E93" s="59"/>
      <c r="F93" s="59"/>
      <c r="G93" s="59"/>
      <c r="H93" s="59"/>
    </row>
    <row r="94" spans="2:12" ht="8.4499999999999993" customHeight="1" x14ac:dyDescent="0.25">
      <c r="B94" s="8"/>
      <c r="C94" s="8"/>
      <c r="H94" s="6" t="s">
        <v>30</v>
      </c>
    </row>
    <row r="95" spans="2:12" ht="15.75" x14ac:dyDescent="0.25">
      <c r="B95" s="53" t="s">
        <v>46</v>
      </c>
      <c r="C95" s="53"/>
      <c r="D95" s="59"/>
      <c r="E95" s="59"/>
      <c r="F95" s="59"/>
      <c r="G95" s="59"/>
      <c r="H95" s="59"/>
    </row>
    <row r="96" spans="2:12" ht="8.4499999999999993" customHeight="1" x14ac:dyDescent="0.25">
      <c r="B96" s="8"/>
      <c r="C96" s="8"/>
      <c r="H96" s="6" t="s">
        <v>30</v>
      </c>
    </row>
    <row r="97" spans="2:10" ht="15.75" x14ac:dyDescent="0.25">
      <c r="B97" s="53" t="s">
        <v>31</v>
      </c>
      <c r="C97" s="53"/>
      <c r="D97" s="59"/>
      <c r="E97" s="59"/>
      <c r="F97" s="59"/>
      <c r="G97" s="59"/>
      <c r="H97" s="59"/>
    </row>
    <row r="98" spans="2:10" ht="8.4499999999999993" customHeight="1" x14ac:dyDescent="0.25">
      <c r="B98" s="8"/>
      <c r="C98" s="8"/>
      <c r="H98" s="6" t="s">
        <v>30</v>
      </c>
    </row>
    <row r="99" spans="2:10" ht="15.75" x14ac:dyDescent="0.25">
      <c r="B99" s="53" t="s">
        <v>47</v>
      </c>
      <c r="C99" s="53"/>
      <c r="D99" s="59"/>
      <c r="E99" s="59"/>
      <c r="F99" s="59"/>
      <c r="G99" s="59"/>
      <c r="H99" s="59"/>
    </row>
    <row r="100" spans="2:10" ht="8.4499999999999993" customHeight="1" x14ac:dyDescent="0.25">
      <c r="B100" s="8"/>
      <c r="C100" s="8"/>
      <c r="H100" s="6" t="s">
        <v>30</v>
      </c>
    </row>
    <row r="101" spans="2:10" ht="15.6" customHeight="1" x14ac:dyDescent="0.25">
      <c r="B101" s="53" t="s">
        <v>48</v>
      </c>
      <c r="C101" s="53"/>
      <c r="D101" s="82"/>
      <c r="E101" s="82"/>
      <c r="F101" s="82"/>
      <c r="G101" s="82"/>
      <c r="H101" s="82"/>
      <c r="J101" s="56" t="str">
        <f>FE3</f>
        <v/>
      </c>
    </row>
    <row r="102" spans="2:10" ht="15.75" x14ac:dyDescent="0.25">
      <c r="B102" s="50"/>
      <c r="C102" s="50"/>
      <c r="D102" s="82"/>
      <c r="E102" s="82"/>
      <c r="F102" s="82"/>
      <c r="G102" s="82"/>
      <c r="H102" s="82"/>
      <c r="J102" s="56"/>
    </row>
    <row r="103" spans="2:10" ht="8.4499999999999993" customHeight="1" x14ac:dyDescent="0.25">
      <c r="B103" s="8"/>
      <c r="C103" s="8"/>
      <c r="H103" s="6" t="s">
        <v>30</v>
      </c>
    </row>
    <row r="104" spans="2:10" ht="15.75" x14ac:dyDescent="0.25">
      <c r="B104" s="53" t="s">
        <v>33</v>
      </c>
      <c r="C104" s="53"/>
      <c r="D104" s="59"/>
      <c r="E104" s="59"/>
      <c r="F104" s="59"/>
      <c r="G104" s="59"/>
      <c r="H104" s="59"/>
    </row>
    <row r="105" spans="2:10" ht="21.6" customHeight="1" x14ac:dyDescent="0.25">
      <c r="B105" s="8"/>
      <c r="C105" s="8"/>
      <c r="H105" s="6" t="s">
        <v>30</v>
      </c>
    </row>
    <row r="106" spans="2:10" ht="42.6" customHeight="1" x14ac:dyDescent="0.25">
      <c r="B106" s="58" t="s">
        <v>180</v>
      </c>
      <c r="C106" s="58"/>
      <c r="D106" s="58"/>
      <c r="E106" s="58"/>
      <c r="F106" s="58"/>
      <c r="G106" s="58"/>
      <c r="H106" s="58"/>
    </row>
    <row r="107" spans="2:10" ht="15.75" x14ac:dyDescent="0.25">
      <c r="B107" s="53" t="s">
        <v>181</v>
      </c>
      <c r="C107" s="53"/>
      <c r="D107" s="59"/>
      <c r="E107" s="59"/>
      <c r="F107" s="59"/>
      <c r="G107" s="59"/>
      <c r="H107" s="59"/>
    </row>
    <row r="108" spans="2:10" ht="8.4499999999999993" customHeight="1" x14ac:dyDescent="0.25">
      <c r="B108" s="8"/>
      <c r="C108" s="8"/>
      <c r="H108" s="6" t="s">
        <v>30</v>
      </c>
    </row>
    <row r="109" spans="2:10" ht="15.75" x14ac:dyDescent="0.25">
      <c r="B109" s="53" t="s">
        <v>50</v>
      </c>
      <c r="C109" s="53"/>
      <c r="D109" s="60"/>
      <c r="E109" s="60"/>
      <c r="F109" s="60"/>
      <c r="G109" s="60"/>
      <c r="H109" s="60"/>
    </row>
    <row r="110" spans="2:10" ht="8.4499999999999993" customHeight="1" x14ac:dyDescent="0.25">
      <c r="B110" s="8"/>
      <c r="C110" s="8"/>
      <c r="H110" s="6" t="s">
        <v>29</v>
      </c>
    </row>
    <row r="111" spans="2:10" ht="15.75" x14ac:dyDescent="0.25">
      <c r="B111" s="53" t="s">
        <v>53</v>
      </c>
      <c r="C111" s="53"/>
      <c r="D111" s="59"/>
      <c r="E111" s="59"/>
      <c r="F111" s="59"/>
      <c r="G111" s="59"/>
      <c r="H111" s="59"/>
    </row>
    <row r="112" spans="2:10" ht="22.9" customHeight="1" x14ac:dyDescent="0.25">
      <c r="B112" s="8"/>
      <c r="C112" s="8"/>
      <c r="H112" s="6" t="s">
        <v>30</v>
      </c>
    </row>
    <row r="113" spans="2:12" ht="56.45" customHeight="1" x14ac:dyDescent="0.25">
      <c r="B113" s="58" t="s">
        <v>182</v>
      </c>
      <c r="C113" s="58"/>
      <c r="D113" s="58"/>
      <c r="E113" s="58"/>
      <c r="F113" s="58"/>
      <c r="G113" s="58"/>
      <c r="H113" s="58"/>
    </row>
    <row r="114" spans="2:12" ht="24" customHeight="1" x14ac:dyDescent="0.25">
      <c r="B114" s="64" t="s">
        <v>54</v>
      </c>
      <c r="C114" s="64"/>
      <c r="D114" s="62"/>
      <c r="E114" s="62"/>
      <c r="F114" s="62"/>
      <c r="G114" s="62"/>
      <c r="H114" s="62"/>
      <c r="J114" s="61" t="s">
        <v>167</v>
      </c>
      <c r="K114" s="61"/>
      <c r="L114" s="61"/>
    </row>
    <row r="115" spans="2:12" ht="210" customHeight="1" x14ac:dyDescent="0.25">
      <c r="B115" s="63" t="s">
        <v>55</v>
      </c>
      <c r="C115" s="63"/>
      <c r="D115" s="62"/>
      <c r="E115" s="62"/>
      <c r="F115" s="62"/>
      <c r="G115" s="62"/>
      <c r="H115" s="62"/>
      <c r="J115" s="61"/>
      <c r="K115" s="61"/>
      <c r="L115" s="61"/>
    </row>
    <row r="116" spans="2:12" ht="8.4499999999999993" customHeight="1" x14ac:dyDescent="0.25">
      <c r="B116" s="8"/>
      <c r="C116" s="8"/>
      <c r="H116" s="6" t="s">
        <v>56</v>
      </c>
    </row>
    <row r="117" spans="2:12" ht="24" customHeight="1" x14ac:dyDescent="0.25">
      <c r="B117" s="64" t="s">
        <v>214</v>
      </c>
      <c r="C117" s="64"/>
      <c r="D117" s="62"/>
      <c r="E117" s="62"/>
      <c r="F117" s="62"/>
      <c r="G117" s="62"/>
      <c r="H117" s="62"/>
      <c r="J117" s="61" t="s">
        <v>167</v>
      </c>
      <c r="K117" s="61"/>
      <c r="L117" s="61"/>
    </row>
    <row r="118" spans="2:12" ht="210" customHeight="1" x14ac:dyDescent="0.25">
      <c r="B118" s="63" t="s">
        <v>224</v>
      </c>
      <c r="C118" s="63"/>
      <c r="D118" s="62"/>
      <c r="E118" s="62"/>
      <c r="F118" s="62"/>
      <c r="G118" s="62"/>
      <c r="H118" s="62"/>
      <c r="J118" s="61"/>
      <c r="K118" s="61"/>
      <c r="L118" s="61"/>
    </row>
    <row r="119" spans="2:12" ht="8.4499999999999993" customHeight="1" x14ac:dyDescent="0.25">
      <c r="B119" s="8"/>
      <c r="C119" s="8"/>
      <c r="H119" s="6" t="s">
        <v>56</v>
      </c>
    </row>
    <row r="120" spans="2:12" ht="15.75" x14ac:dyDescent="0.25">
      <c r="B120" s="53" t="s">
        <v>57</v>
      </c>
      <c r="C120" s="53"/>
      <c r="D120" s="60"/>
      <c r="E120" s="60"/>
      <c r="F120" s="60"/>
      <c r="G120" s="60"/>
      <c r="H120" s="60"/>
    </row>
    <row r="121" spans="2:12" ht="68.45" customHeight="1" x14ac:dyDescent="0.25">
      <c r="B121" s="63" t="s">
        <v>183</v>
      </c>
      <c r="C121" s="63"/>
      <c r="H121" s="6" t="s">
        <v>29</v>
      </c>
    </row>
    <row r="122" spans="2:12" ht="15.6" customHeight="1" x14ac:dyDescent="0.25">
      <c r="B122" s="53" t="s">
        <v>58</v>
      </c>
      <c r="C122" s="53"/>
      <c r="D122" s="60"/>
      <c r="E122" s="60"/>
      <c r="F122" s="60"/>
      <c r="G122" s="60"/>
      <c r="H122" s="60"/>
    </row>
    <row r="123" spans="2:12" ht="37.9" customHeight="1" x14ac:dyDescent="0.25">
      <c r="B123" s="66" t="s">
        <v>184</v>
      </c>
      <c r="C123" s="53"/>
      <c r="D123" s="12"/>
      <c r="E123" s="12"/>
      <c r="F123" s="12"/>
      <c r="G123" s="12"/>
      <c r="H123" s="6" t="s">
        <v>29</v>
      </c>
      <c r="I123" s="12"/>
    </row>
    <row r="124" spans="2:12" ht="8.4499999999999993" customHeight="1" x14ac:dyDescent="0.25">
      <c r="B124" s="8"/>
      <c r="C124" s="8"/>
    </row>
    <row r="125" spans="2:12" ht="24" customHeight="1" x14ac:dyDescent="0.25">
      <c r="B125" s="64" t="s">
        <v>94</v>
      </c>
      <c r="C125" s="64"/>
      <c r="D125" s="62"/>
      <c r="E125" s="62"/>
      <c r="F125" s="62"/>
      <c r="G125" s="62"/>
      <c r="H125" s="62"/>
      <c r="J125" s="61" t="s">
        <v>167</v>
      </c>
      <c r="K125" s="61"/>
      <c r="L125" s="61"/>
    </row>
    <row r="126" spans="2:12" ht="79.900000000000006" customHeight="1" x14ac:dyDescent="0.25">
      <c r="B126" s="63" t="s">
        <v>61</v>
      </c>
      <c r="C126" s="63"/>
      <c r="D126" s="62"/>
      <c r="E126" s="62"/>
      <c r="F126" s="62"/>
      <c r="G126" s="62"/>
      <c r="H126" s="62"/>
      <c r="J126" s="61"/>
      <c r="K126" s="61"/>
      <c r="L126" s="61"/>
    </row>
    <row r="127" spans="2:12" x14ac:dyDescent="0.25">
      <c r="H127" s="6" t="s">
        <v>56</v>
      </c>
    </row>
    <row r="128" spans="2:12" ht="1.1499999999999999" customHeight="1" x14ac:dyDescent="0.25">
      <c r="B128" s="2"/>
      <c r="C128" s="2"/>
      <c r="D128" s="2"/>
      <c r="E128" s="2"/>
      <c r="F128" s="2"/>
      <c r="G128" s="2"/>
      <c r="H128" s="2"/>
    </row>
    <row r="129" spans="2:12" ht="41.45" customHeight="1" x14ac:dyDescent="0.25">
      <c r="B129" s="65" t="s">
        <v>194</v>
      </c>
      <c r="C129" s="65"/>
      <c r="D129" s="65"/>
      <c r="E129" s="65"/>
      <c r="F129" s="65"/>
      <c r="G129" s="65"/>
      <c r="H129" s="65"/>
    </row>
    <row r="130" spans="2:12" ht="54" customHeight="1" x14ac:dyDescent="0.25">
      <c r="B130" s="58" t="s">
        <v>197</v>
      </c>
      <c r="C130" s="58"/>
      <c r="D130" s="58"/>
      <c r="E130" s="58"/>
      <c r="F130" s="58"/>
      <c r="G130" s="58"/>
      <c r="H130" s="58"/>
    </row>
    <row r="131" spans="2:12" ht="15.75" customHeight="1" x14ac:dyDescent="0.25">
      <c r="B131" s="53" t="s">
        <v>62</v>
      </c>
      <c r="C131" s="53"/>
      <c r="D131" s="21">
        <v>29</v>
      </c>
      <c r="E131" s="7"/>
      <c r="F131" s="51" t="s">
        <v>112</v>
      </c>
      <c r="G131" s="7"/>
      <c r="H131" s="51">
        <v>2018</v>
      </c>
      <c r="K131" s="22" t="str">
        <f>REPLACE(H131,1,0,REPLACE(" - ",1,0,REPLACE(F131,1,0,REPLACE(" - ",1,0,D131))))</f>
        <v>29 - 01 - 2018</v>
      </c>
    </row>
    <row r="132" spans="2:12" ht="8.4499999999999993" customHeight="1" x14ac:dyDescent="0.25">
      <c r="B132" s="5"/>
      <c r="C132" s="5"/>
      <c r="D132" s="6" t="s">
        <v>29</v>
      </c>
      <c r="F132" s="6" t="s">
        <v>29</v>
      </c>
      <c r="H132" s="6" t="s">
        <v>29</v>
      </c>
      <c r="K132" s="23"/>
    </row>
    <row r="133" spans="2:12" ht="15.75" customHeight="1" x14ac:dyDescent="0.25">
      <c r="B133" s="53" t="s">
        <v>63</v>
      </c>
      <c r="C133" s="53"/>
      <c r="D133" s="21">
        <v>15</v>
      </c>
      <c r="E133" s="7"/>
      <c r="F133" s="51" t="s">
        <v>117</v>
      </c>
      <c r="G133" s="7"/>
      <c r="H133" s="51">
        <v>2018</v>
      </c>
      <c r="K133" s="22" t="str">
        <f>REPLACE(H133,1,0,REPLACE(" - ",1,0,REPLACE(F133,1,0,REPLACE(" - ",1,0,D133))))</f>
        <v>15 - 06 - 2018</v>
      </c>
    </row>
    <row r="134" spans="2:12" ht="8.4499999999999993" customHeight="1" x14ac:dyDescent="0.25">
      <c r="B134" s="5"/>
      <c r="C134" s="5"/>
      <c r="D134" s="6" t="s">
        <v>29</v>
      </c>
      <c r="F134" s="6" t="s">
        <v>29</v>
      </c>
      <c r="H134" s="6" t="s">
        <v>29</v>
      </c>
      <c r="K134" s="24"/>
    </row>
    <row r="135" spans="2:12" ht="15.75" hidden="1" x14ac:dyDescent="0.25">
      <c r="B135" s="53" t="s">
        <v>70</v>
      </c>
      <c r="C135" s="53"/>
      <c r="D135" s="54" t="s">
        <v>72</v>
      </c>
      <c r="E135" s="54"/>
      <c r="F135" s="54"/>
      <c r="G135" s="54"/>
      <c r="H135" s="54"/>
      <c r="K135" s="24"/>
    </row>
    <row r="136" spans="2:12" ht="8.4499999999999993" hidden="1" customHeight="1" x14ac:dyDescent="0.25">
      <c r="B136" s="8"/>
      <c r="C136" s="8"/>
      <c r="F136" s="6"/>
      <c r="H136" s="6" t="s">
        <v>29</v>
      </c>
      <c r="K136" s="24"/>
    </row>
    <row r="137" spans="2:12" ht="15.75" x14ac:dyDescent="0.25">
      <c r="B137" s="53" t="s">
        <v>110</v>
      </c>
      <c r="C137" s="53"/>
      <c r="D137" s="55"/>
      <c r="E137" s="55"/>
      <c r="F137" s="55"/>
      <c r="H137" s="51"/>
      <c r="K137" s="23" t="str">
        <f>REPLACE(" EUROS ",1,0,REPLACE(D137,1,0,REPLACE(" ",1,0,H137)))</f>
        <v xml:space="preserve">  EUROS </v>
      </c>
    </row>
    <row r="138" spans="2:12" ht="8.4499999999999993" customHeight="1" x14ac:dyDescent="0.25">
      <c r="B138" s="8"/>
      <c r="C138" s="8"/>
      <c r="F138" s="6" t="s">
        <v>160</v>
      </c>
      <c r="H138" s="6" t="s">
        <v>29</v>
      </c>
      <c r="K138" s="24"/>
    </row>
    <row r="139" spans="2:12" ht="15.75" x14ac:dyDescent="0.25">
      <c r="B139" s="53" t="s">
        <v>66</v>
      </c>
      <c r="C139" s="53"/>
      <c r="D139" s="55"/>
      <c r="E139" s="55"/>
      <c r="F139" s="55"/>
      <c r="H139" s="51"/>
      <c r="K139" s="23" t="str">
        <f>REPLACE(" EUROS ",1,0,REPLACE(D139,1,0,REPLACE(" ",1,0,H139)))</f>
        <v xml:space="preserve">  EUROS </v>
      </c>
    </row>
    <row r="140" spans="2:12" ht="15" customHeight="1" x14ac:dyDescent="0.25">
      <c r="B140" s="8"/>
      <c r="C140" s="8"/>
      <c r="F140" s="6" t="s">
        <v>160</v>
      </c>
      <c r="H140" s="6" t="s">
        <v>29</v>
      </c>
      <c r="K140" s="24"/>
    </row>
    <row r="141" spans="2:12" ht="1.1499999999999999" customHeight="1" x14ac:dyDescent="0.25">
      <c r="B141" s="2"/>
      <c r="C141" s="2"/>
      <c r="D141" s="2"/>
      <c r="E141" s="2"/>
      <c r="F141" s="2"/>
      <c r="G141" s="2"/>
      <c r="H141" s="2"/>
      <c r="K141" s="24"/>
    </row>
    <row r="142" spans="2:12" ht="41.45" customHeight="1" x14ac:dyDescent="0.25">
      <c r="B142" s="65" t="s">
        <v>103</v>
      </c>
      <c r="C142" s="65"/>
      <c r="D142" s="65"/>
      <c r="E142" s="65"/>
      <c r="F142" s="65"/>
      <c r="G142" s="65"/>
      <c r="H142" s="65"/>
      <c r="K142" s="24"/>
    </row>
    <row r="143" spans="2:12" ht="43.15" customHeight="1" x14ac:dyDescent="0.25">
      <c r="B143" s="58" t="s">
        <v>213</v>
      </c>
      <c r="C143" s="58"/>
      <c r="D143" s="58"/>
      <c r="E143" s="58"/>
      <c r="F143" s="58"/>
      <c r="G143" s="58"/>
      <c r="H143" s="58"/>
      <c r="K143" s="24"/>
    </row>
    <row r="144" spans="2:12" ht="14.45" customHeight="1" x14ac:dyDescent="0.25">
      <c r="B144" s="84" t="s">
        <v>198</v>
      </c>
      <c r="C144" s="84"/>
      <c r="D144" s="84"/>
      <c r="E144" s="84"/>
      <c r="F144" s="84"/>
      <c r="H144" s="36"/>
      <c r="K144" s="24"/>
      <c r="L144" s="24">
        <v>1</v>
      </c>
    </row>
    <row r="145" spans="2:12" ht="8.4499999999999993" customHeight="1" x14ac:dyDescent="0.25">
      <c r="B145" s="8"/>
      <c r="C145" s="8"/>
      <c r="H145" s="6" t="s">
        <v>29</v>
      </c>
      <c r="K145" s="24"/>
      <c r="L145" s="24">
        <v>2</v>
      </c>
    </row>
    <row r="146" spans="2:12" x14ac:dyDescent="0.25">
      <c r="B146" s="57" t="s">
        <v>204</v>
      </c>
      <c r="C146" s="57"/>
      <c r="D146" s="57"/>
      <c r="E146" s="57"/>
      <c r="F146" s="57"/>
      <c r="H146" s="10"/>
      <c r="K146" s="25">
        <f>H144+H151+H158</f>
        <v>0</v>
      </c>
      <c r="L146" s="24">
        <v>3</v>
      </c>
    </row>
    <row r="147" spans="2:12" ht="8.4499999999999993" customHeight="1" x14ac:dyDescent="0.25">
      <c r="B147" s="8"/>
      <c r="C147" s="8"/>
      <c r="H147" s="6" t="s">
        <v>30</v>
      </c>
      <c r="L147" s="24">
        <v>4</v>
      </c>
    </row>
    <row r="148" spans="2:12" ht="14.45" customHeight="1" x14ac:dyDescent="0.25">
      <c r="B148" s="83" t="s">
        <v>199</v>
      </c>
      <c r="C148" s="83"/>
      <c r="D148" s="83"/>
      <c r="E148" s="83"/>
      <c r="F148" s="83"/>
      <c r="H148" s="36"/>
      <c r="L148" s="24">
        <v>5</v>
      </c>
    </row>
    <row r="149" spans="2:12" x14ac:dyDescent="0.25">
      <c r="B149" s="83"/>
      <c r="C149" s="83"/>
      <c r="D149" s="83"/>
      <c r="E149" s="83"/>
      <c r="F149" s="83"/>
      <c r="H149" s="6" t="s">
        <v>29</v>
      </c>
      <c r="L149" s="24">
        <v>6</v>
      </c>
    </row>
    <row r="150" spans="2:12" ht="8.4499999999999993" customHeight="1" x14ac:dyDescent="0.25">
      <c r="B150" s="8"/>
      <c r="C150" s="8"/>
      <c r="H150" s="6"/>
      <c r="L150" s="24">
        <v>7</v>
      </c>
    </row>
    <row r="151" spans="2:12" ht="15.6" customHeight="1" x14ac:dyDescent="0.25">
      <c r="B151" s="84" t="s">
        <v>202</v>
      </c>
      <c r="C151" s="84"/>
      <c r="D151" s="84"/>
      <c r="E151" s="84"/>
      <c r="F151" s="84"/>
      <c r="H151" s="36"/>
      <c r="L151" s="24">
        <v>8</v>
      </c>
    </row>
    <row r="152" spans="2:12" ht="8.4499999999999993" customHeight="1" x14ac:dyDescent="0.25">
      <c r="B152" s="8"/>
      <c r="C152" s="8"/>
      <c r="H152" s="6" t="s">
        <v>29</v>
      </c>
      <c r="L152" s="24">
        <v>9</v>
      </c>
    </row>
    <row r="153" spans="2:12" ht="14.45" customHeight="1" x14ac:dyDescent="0.25">
      <c r="B153" s="57" t="s">
        <v>205</v>
      </c>
      <c r="C153" s="57"/>
      <c r="D153" s="57"/>
      <c r="E153" s="57"/>
      <c r="F153" s="57"/>
      <c r="H153" s="10"/>
      <c r="L153" s="24">
        <v>10</v>
      </c>
    </row>
    <row r="154" spans="2:12" ht="8.4499999999999993" customHeight="1" x14ac:dyDescent="0.25">
      <c r="B154" s="8"/>
      <c r="C154" s="8"/>
      <c r="H154" s="6" t="s">
        <v>30</v>
      </c>
      <c r="L154" s="24">
        <v>11</v>
      </c>
    </row>
    <row r="155" spans="2:12" ht="14.45" customHeight="1" x14ac:dyDescent="0.25">
      <c r="B155" s="83" t="s">
        <v>200</v>
      </c>
      <c r="C155" s="83"/>
      <c r="D155" s="83"/>
      <c r="E155" s="83"/>
      <c r="F155" s="83"/>
      <c r="H155" s="36"/>
      <c r="L155" s="24">
        <v>12</v>
      </c>
    </row>
    <row r="156" spans="2:12" x14ac:dyDescent="0.25">
      <c r="B156" s="83"/>
      <c r="C156" s="83"/>
      <c r="D156" s="83"/>
      <c r="E156" s="83"/>
      <c r="F156" s="83"/>
      <c r="H156" s="6" t="s">
        <v>29</v>
      </c>
      <c r="L156" s="24">
        <v>13</v>
      </c>
    </row>
    <row r="157" spans="2:12" ht="8.4499999999999993" customHeight="1" x14ac:dyDescent="0.25">
      <c r="B157" s="8"/>
      <c r="C157" s="8"/>
      <c r="H157" s="6"/>
      <c r="L157" s="24">
        <v>14</v>
      </c>
    </row>
    <row r="158" spans="2:12" ht="15.6" customHeight="1" x14ac:dyDescent="0.25">
      <c r="B158" s="84" t="s">
        <v>203</v>
      </c>
      <c r="C158" s="84"/>
      <c r="D158" s="84"/>
      <c r="E158" s="84"/>
      <c r="F158" s="84"/>
      <c r="H158" s="36"/>
      <c r="L158" s="24">
        <v>15</v>
      </c>
    </row>
    <row r="159" spans="2:12" ht="8.4499999999999993" customHeight="1" x14ac:dyDescent="0.25">
      <c r="B159" s="8"/>
      <c r="C159" s="8"/>
      <c r="H159" s="6" t="s">
        <v>29</v>
      </c>
      <c r="L159" s="24">
        <v>16</v>
      </c>
    </row>
    <row r="160" spans="2:12" ht="14.45" customHeight="1" x14ac:dyDescent="0.25">
      <c r="B160" s="57" t="s">
        <v>206</v>
      </c>
      <c r="C160" s="57"/>
      <c r="D160" s="57"/>
      <c r="E160" s="57"/>
      <c r="F160" s="57"/>
      <c r="H160" s="10"/>
      <c r="L160" s="24">
        <v>17</v>
      </c>
    </row>
    <row r="161" spans="2:15" ht="8.4499999999999993" customHeight="1" x14ac:dyDescent="0.25">
      <c r="B161" s="8"/>
      <c r="C161" s="8"/>
      <c r="H161" s="6" t="s">
        <v>30</v>
      </c>
      <c r="L161" s="24">
        <v>18</v>
      </c>
    </row>
    <row r="162" spans="2:15" ht="14.45" customHeight="1" x14ac:dyDescent="0.25">
      <c r="B162" s="83" t="s">
        <v>201</v>
      </c>
      <c r="C162" s="83"/>
      <c r="D162" s="83"/>
      <c r="E162" s="83"/>
      <c r="F162" s="83"/>
      <c r="H162" s="36"/>
      <c r="L162" s="24">
        <v>19</v>
      </c>
    </row>
    <row r="163" spans="2:15" ht="33" customHeight="1" x14ac:dyDescent="0.25">
      <c r="B163" s="83"/>
      <c r="C163" s="83"/>
      <c r="D163" s="83"/>
      <c r="E163" s="83"/>
      <c r="F163" s="83"/>
      <c r="H163" s="6" t="s">
        <v>29</v>
      </c>
      <c r="L163" s="24">
        <v>20</v>
      </c>
    </row>
    <row r="164" spans="2:15" ht="1.1499999999999999" customHeight="1" x14ac:dyDescent="0.25">
      <c r="B164" s="2"/>
      <c r="C164" s="2"/>
      <c r="D164" s="2"/>
      <c r="E164" s="2"/>
      <c r="F164" s="2"/>
      <c r="G164" s="2"/>
      <c r="H164" s="2"/>
      <c r="L164" s="24">
        <v>21</v>
      </c>
    </row>
    <row r="165" spans="2:15" ht="40.9" customHeight="1" x14ac:dyDescent="0.25">
      <c r="B165" s="65" t="s">
        <v>195</v>
      </c>
      <c r="C165" s="65"/>
      <c r="D165" s="65"/>
      <c r="E165" s="65"/>
      <c r="F165" s="65"/>
      <c r="G165" s="65"/>
      <c r="H165" s="65"/>
      <c r="L165" s="24">
        <v>22</v>
      </c>
    </row>
    <row r="166" spans="2:15" ht="14.45" customHeight="1" x14ac:dyDescent="0.25">
      <c r="B166" s="80" t="s">
        <v>186</v>
      </c>
      <c r="C166" s="80"/>
      <c r="D166" s="80"/>
      <c r="E166" s="80"/>
      <c r="F166" s="80"/>
      <c r="H166" s="11"/>
      <c r="L166" s="24">
        <v>23</v>
      </c>
    </row>
    <row r="167" spans="2:15" ht="46.15" customHeight="1" x14ac:dyDescent="0.25">
      <c r="B167" s="80"/>
      <c r="C167" s="80"/>
      <c r="D167" s="80"/>
      <c r="E167" s="80"/>
      <c r="F167" s="80"/>
      <c r="H167" s="6" t="s">
        <v>185</v>
      </c>
      <c r="L167" s="24">
        <v>24</v>
      </c>
    </row>
    <row r="168" spans="2:15" ht="1.1499999999999999" customHeight="1" x14ac:dyDescent="0.25">
      <c r="B168" s="2"/>
      <c r="C168" s="2"/>
      <c r="D168" s="2"/>
      <c r="E168" s="2"/>
      <c r="F168" s="2"/>
      <c r="G168" s="2"/>
      <c r="H168" s="2"/>
      <c r="L168" s="24">
        <v>25</v>
      </c>
    </row>
    <row r="169" spans="2:15" ht="42.6" customHeight="1" x14ac:dyDescent="0.25">
      <c r="B169" s="65" t="s">
        <v>196</v>
      </c>
      <c r="C169" s="65"/>
      <c r="D169" s="65"/>
      <c r="E169" s="65"/>
      <c r="F169" s="65"/>
      <c r="G169" s="65"/>
      <c r="H169" s="65"/>
      <c r="L169" s="24">
        <v>26</v>
      </c>
    </row>
    <row r="170" spans="2:15" ht="30.6" customHeight="1" x14ac:dyDescent="0.25">
      <c r="B170" s="81" t="s">
        <v>187</v>
      </c>
      <c r="C170" s="81"/>
      <c r="D170" s="81"/>
      <c r="E170" s="81"/>
      <c r="F170" s="81"/>
      <c r="L170" s="24">
        <v>27</v>
      </c>
    </row>
    <row r="171" spans="2:15" ht="10.9" hidden="1" customHeight="1" x14ac:dyDescent="0.25">
      <c r="L171" s="24">
        <v>28</v>
      </c>
    </row>
    <row r="172" spans="2:15" ht="13.9" customHeight="1" x14ac:dyDescent="0.25">
      <c r="B172" s="58" t="s">
        <v>188</v>
      </c>
      <c r="C172" s="58"/>
      <c r="D172" s="58"/>
      <c r="E172" s="58"/>
      <c r="F172" s="58"/>
      <c r="H172" s="11"/>
      <c r="K172" s="24">
        <v>1</v>
      </c>
      <c r="L172" s="24">
        <v>2</v>
      </c>
      <c r="M172" s="24">
        <v>3</v>
      </c>
      <c r="N172" s="24">
        <v>4</v>
      </c>
      <c r="O172" s="24">
        <v>5</v>
      </c>
    </row>
    <row r="173" spans="2:15" ht="19.899999999999999" customHeight="1" x14ac:dyDescent="0.25">
      <c r="B173" s="58"/>
      <c r="C173" s="58"/>
      <c r="D173" s="58"/>
      <c r="E173" s="58"/>
      <c r="F173" s="58"/>
      <c r="H173" s="6" t="s">
        <v>185</v>
      </c>
      <c r="L173" s="24">
        <v>30</v>
      </c>
    </row>
    <row r="174" spans="2:15" ht="28.15" customHeight="1" x14ac:dyDescent="0.25">
      <c r="B174" s="81" t="s">
        <v>189</v>
      </c>
      <c r="C174" s="81"/>
      <c r="D174" s="81"/>
      <c r="E174" s="81"/>
      <c r="F174" s="81"/>
    </row>
    <row r="175" spans="2:15" ht="19.899999999999999" hidden="1" customHeight="1" x14ac:dyDescent="0.25"/>
    <row r="176" spans="2:15" ht="14.45" customHeight="1" x14ac:dyDescent="0.25">
      <c r="B176" s="58" t="s">
        <v>190</v>
      </c>
      <c r="C176" s="58"/>
      <c r="D176" s="58"/>
      <c r="E176" s="58"/>
      <c r="F176" s="58"/>
      <c r="H176" s="11"/>
    </row>
    <row r="177" spans="1:74" ht="22.9" customHeight="1" x14ac:dyDescent="0.25">
      <c r="B177" s="58"/>
      <c r="C177" s="58"/>
      <c r="D177" s="58"/>
      <c r="E177" s="58"/>
      <c r="F177" s="58"/>
      <c r="H177" s="6" t="s">
        <v>185</v>
      </c>
    </row>
    <row r="178" spans="1:74" ht="1.1499999999999999" customHeight="1" x14ac:dyDescent="0.25">
      <c r="B178" s="2"/>
      <c r="C178" s="2"/>
      <c r="D178" s="2"/>
      <c r="E178" s="2"/>
      <c r="F178" s="2"/>
      <c r="G178" s="2"/>
      <c r="H178" s="2"/>
    </row>
    <row r="179" spans="1:74" ht="1.1499999999999999" customHeight="1" x14ac:dyDescent="0.25">
      <c r="B179" s="2"/>
      <c r="C179" s="2"/>
      <c r="D179" s="2"/>
      <c r="E179" s="2"/>
      <c r="F179" s="2"/>
      <c r="G179" s="2"/>
      <c r="H179" s="2"/>
    </row>
    <row r="180" spans="1:74" hidden="1" x14ac:dyDescent="0.25"/>
    <row r="181" spans="1:74" ht="31.5" hidden="1" customHeight="1" x14ac:dyDescent="0.25">
      <c r="B181" s="65" t="s">
        <v>223</v>
      </c>
      <c r="C181" s="65"/>
      <c r="D181" s="65"/>
      <c r="E181" s="65"/>
      <c r="F181" s="65"/>
      <c r="G181" s="65"/>
      <c r="H181" s="65"/>
      <c r="K181" s="24"/>
    </row>
    <row r="182" spans="1:74" x14ac:dyDescent="0.25">
      <c r="B182" s="57"/>
      <c r="C182" s="57"/>
      <c r="D182" s="57"/>
      <c r="H182" s="26"/>
    </row>
    <row r="184" spans="1:74" ht="1.1499999999999999" customHeight="1" x14ac:dyDescent="0.25">
      <c r="B184" s="2"/>
      <c r="C184" s="2"/>
      <c r="D184" s="2"/>
      <c r="E184" s="2"/>
      <c r="F184" s="2"/>
      <c r="G184" s="2"/>
      <c r="H184" s="2"/>
    </row>
    <row r="185" spans="1:74" hidden="1" x14ac:dyDescent="0.25"/>
    <row r="187" spans="1:74" hidden="1" x14ac:dyDescent="0.25"/>
    <row r="192" spans="1:74" s="19" customFormat="1" ht="21" hidden="1" customHeight="1" x14ac:dyDescent="0.25">
      <c r="A192" s="17"/>
      <c r="B192" s="17"/>
      <c r="C192" s="17"/>
      <c r="D192" s="17"/>
      <c r="E192" s="17"/>
      <c r="F192" s="17"/>
      <c r="G192" s="17"/>
      <c r="H192" s="17"/>
      <c r="I192" s="17"/>
      <c r="J192" s="17"/>
      <c r="K192" s="17"/>
      <c r="L192" s="17"/>
      <c r="M192" s="18"/>
      <c r="N192" s="27" t="s">
        <v>104</v>
      </c>
      <c r="O192" s="27" t="s">
        <v>125</v>
      </c>
      <c r="P192" s="27" t="s">
        <v>126</v>
      </c>
      <c r="Q192" s="27" t="s">
        <v>128</v>
      </c>
      <c r="R192" s="27" t="s">
        <v>127</v>
      </c>
      <c r="S192" s="28" t="s">
        <v>105</v>
      </c>
      <c r="T192" s="28" t="s">
        <v>124</v>
      </c>
      <c r="U192" s="28" t="s">
        <v>129</v>
      </c>
      <c r="V192" s="27" t="s">
        <v>106</v>
      </c>
      <c r="W192" s="27" t="s">
        <v>130</v>
      </c>
      <c r="X192" s="29" t="s">
        <v>131</v>
      </c>
      <c r="Y192" s="27" t="s">
        <v>132</v>
      </c>
      <c r="Z192" s="27" t="s">
        <v>165</v>
      </c>
      <c r="AA192" s="30" t="s">
        <v>133</v>
      </c>
      <c r="AB192" s="27" t="s">
        <v>134</v>
      </c>
      <c r="AC192" s="29" t="s">
        <v>135</v>
      </c>
      <c r="AD192" s="29" t="s">
        <v>136</v>
      </c>
      <c r="AE192" s="29" t="s">
        <v>137</v>
      </c>
      <c r="AF192" s="29" t="s">
        <v>138</v>
      </c>
      <c r="AG192" s="27" t="s">
        <v>139</v>
      </c>
      <c r="AH192" s="27" t="s">
        <v>140</v>
      </c>
      <c r="AI192" s="27" t="s">
        <v>138</v>
      </c>
      <c r="AJ192" s="27" t="s">
        <v>139</v>
      </c>
      <c r="AK192" s="27" t="s">
        <v>141</v>
      </c>
      <c r="AL192" s="27" t="s">
        <v>142</v>
      </c>
      <c r="AM192" s="27" t="s">
        <v>130</v>
      </c>
      <c r="AN192" s="27" t="s">
        <v>143</v>
      </c>
      <c r="AO192" s="27" t="s">
        <v>108</v>
      </c>
      <c r="AP192" s="27" t="s">
        <v>142</v>
      </c>
      <c r="AQ192" s="27" t="s">
        <v>130</v>
      </c>
      <c r="AR192" s="27" t="s">
        <v>143</v>
      </c>
      <c r="AS192" s="27" t="s">
        <v>107</v>
      </c>
      <c r="AT192" s="27" t="s">
        <v>144</v>
      </c>
      <c r="AU192" s="27" t="s">
        <v>145</v>
      </c>
      <c r="AV192" s="27" t="s">
        <v>146</v>
      </c>
      <c r="AW192" s="27" t="s">
        <v>147</v>
      </c>
      <c r="AX192" s="27" t="s">
        <v>148</v>
      </c>
      <c r="AY192" s="27" t="s">
        <v>149</v>
      </c>
      <c r="AZ192" s="27" t="s">
        <v>139</v>
      </c>
      <c r="BA192" s="27" t="s">
        <v>150</v>
      </c>
      <c r="BB192" s="27" t="s">
        <v>151</v>
      </c>
      <c r="BC192" s="27" t="s">
        <v>152</v>
      </c>
      <c r="BD192" s="27" t="s">
        <v>153</v>
      </c>
      <c r="BE192" s="27" t="s">
        <v>154</v>
      </c>
      <c r="BF192" s="27" t="s">
        <v>155</v>
      </c>
      <c r="BG192" s="27" t="s">
        <v>156</v>
      </c>
      <c r="BH192" s="27" t="s">
        <v>157</v>
      </c>
      <c r="BI192" s="27" t="s">
        <v>158</v>
      </c>
      <c r="BJ192" s="27" t="s">
        <v>159</v>
      </c>
      <c r="BK192" s="27" t="s">
        <v>162</v>
      </c>
      <c r="BL192" s="27" t="s">
        <v>161</v>
      </c>
      <c r="BM192" s="27" t="s">
        <v>207</v>
      </c>
      <c r="BN192" s="27" t="s">
        <v>210</v>
      </c>
      <c r="BO192" s="27" t="s">
        <v>163</v>
      </c>
      <c r="BP192" s="27" t="s">
        <v>208</v>
      </c>
      <c r="BQ192" s="27" t="s">
        <v>211</v>
      </c>
      <c r="BR192" s="27" t="s">
        <v>163</v>
      </c>
      <c r="BS192" s="27" t="s">
        <v>209</v>
      </c>
      <c r="BT192" s="27" t="s">
        <v>212</v>
      </c>
      <c r="BU192" s="27" t="s">
        <v>163</v>
      </c>
      <c r="BV192" s="27" t="s">
        <v>164</v>
      </c>
    </row>
    <row r="193" spans="2:74" s="15" customFormat="1" hidden="1" x14ac:dyDescent="0.25">
      <c r="N193" s="31">
        <f>D19</f>
        <v>0</v>
      </c>
      <c r="O193" s="32">
        <f>D21</f>
        <v>0</v>
      </c>
      <c r="P193" s="32">
        <f>+D23</f>
        <v>0</v>
      </c>
      <c r="Q193" s="31">
        <f>+D25</f>
        <v>0</v>
      </c>
      <c r="R193" s="32">
        <f>D27</f>
        <v>0</v>
      </c>
      <c r="S193" s="32">
        <f>D29</f>
        <v>0</v>
      </c>
      <c r="T193" s="32" t="str">
        <f>K31</f>
        <v xml:space="preserve"> -  - </v>
      </c>
      <c r="U193" s="32">
        <f>D33</f>
        <v>0</v>
      </c>
      <c r="V193" s="32">
        <f>D35</f>
        <v>0</v>
      </c>
      <c r="W193" s="32">
        <f>D37</f>
        <v>0</v>
      </c>
      <c r="X193" s="32">
        <f>D39</f>
        <v>0</v>
      </c>
      <c r="Y193" s="32">
        <f>D41</f>
        <v>0</v>
      </c>
      <c r="Z193" s="32">
        <f>D43</f>
        <v>0</v>
      </c>
      <c r="AA193" s="32">
        <f>D45</f>
        <v>0</v>
      </c>
      <c r="AB193" s="32">
        <f>D49</f>
        <v>0</v>
      </c>
      <c r="AC193" s="33">
        <f>D51</f>
        <v>0</v>
      </c>
      <c r="AD193" s="32">
        <f>D53</f>
        <v>0</v>
      </c>
      <c r="AE193" s="32">
        <f>D56</f>
        <v>0</v>
      </c>
      <c r="AF193" s="32">
        <f>D58</f>
        <v>0</v>
      </c>
      <c r="AG193" s="32">
        <f>D60</f>
        <v>0</v>
      </c>
      <c r="AH193" s="32">
        <f>D63</f>
        <v>0</v>
      </c>
      <c r="AI193" s="32">
        <f>D65</f>
        <v>0</v>
      </c>
      <c r="AJ193" s="32">
        <f>D67</f>
        <v>0</v>
      </c>
      <c r="AK193" s="32">
        <f>D72</f>
        <v>0</v>
      </c>
      <c r="AL193" s="32">
        <f>D74</f>
        <v>0</v>
      </c>
      <c r="AM193" s="32">
        <f>D76</f>
        <v>0</v>
      </c>
      <c r="AN193" s="32">
        <f>D78</f>
        <v>0</v>
      </c>
      <c r="AO193" s="32">
        <f>D80</f>
        <v>0</v>
      </c>
      <c r="AP193" s="32">
        <f>D82</f>
        <v>0</v>
      </c>
      <c r="AQ193" s="32">
        <f>D84</f>
        <v>0</v>
      </c>
      <c r="AR193" s="32">
        <f>D86</f>
        <v>0</v>
      </c>
      <c r="AS193" s="32">
        <f>D89</f>
        <v>0</v>
      </c>
      <c r="AT193" s="32">
        <f>D91</f>
        <v>0</v>
      </c>
      <c r="AU193" s="32">
        <f>D93</f>
        <v>0</v>
      </c>
      <c r="AV193" s="32">
        <f>D95</f>
        <v>0</v>
      </c>
      <c r="AW193" s="32">
        <f>D97</f>
        <v>0</v>
      </c>
      <c r="AX193" s="32">
        <f>D99</f>
        <v>0</v>
      </c>
      <c r="AY193" s="32">
        <f>D101</f>
        <v>0</v>
      </c>
      <c r="AZ193" s="32">
        <f>D104</f>
        <v>0</v>
      </c>
      <c r="BA193" s="32">
        <f>D107</f>
        <v>0</v>
      </c>
      <c r="BB193" s="32">
        <f>D109</f>
        <v>0</v>
      </c>
      <c r="BC193" s="32">
        <f>D111</f>
        <v>0</v>
      </c>
      <c r="BD193" s="32">
        <f>D114</f>
        <v>0</v>
      </c>
      <c r="BE193" s="32">
        <f>D117</f>
        <v>0</v>
      </c>
      <c r="BF193" s="32">
        <f>D120</f>
        <v>0</v>
      </c>
      <c r="BG193" s="32">
        <f>D122</f>
        <v>0</v>
      </c>
      <c r="BH193" s="32">
        <f>D125</f>
        <v>0</v>
      </c>
      <c r="BI193" s="32" t="str">
        <f>K131</f>
        <v>29 - 01 - 2018</v>
      </c>
      <c r="BJ193" s="32" t="str">
        <f>K133</f>
        <v>15 - 06 - 2018</v>
      </c>
      <c r="BK193" s="32" t="str">
        <f>K137</f>
        <v xml:space="preserve">  EUROS </v>
      </c>
      <c r="BL193" s="32" t="str">
        <f>K139</f>
        <v xml:space="preserve">  EUROS </v>
      </c>
      <c r="BM193" s="32">
        <f>H144</f>
        <v>0</v>
      </c>
      <c r="BN193" s="33">
        <f>H146</f>
        <v>0</v>
      </c>
      <c r="BO193" s="33">
        <f>H148</f>
        <v>0</v>
      </c>
      <c r="BP193" s="33">
        <f>H151</f>
        <v>0</v>
      </c>
      <c r="BQ193" s="33">
        <f>H153</f>
        <v>0</v>
      </c>
      <c r="BR193" s="33">
        <f>H155</f>
        <v>0</v>
      </c>
      <c r="BS193" s="33">
        <f>H158</f>
        <v>0</v>
      </c>
      <c r="BT193" s="33">
        <f>H160</f>
        <v>0</v>
      </c>
      <c r="BU193" s="33">
        <f>H162</f>
        <v>0</v>
      </c>
      <c r="BV193" s="33">
        <f>K146</f>
        <v>0</v>
      </c>
    </row>
    <row r="194" spans="2:74" hidden="1" x14ac:dyDescent="0.25">
      <c r="J194" s="52"/>
      <c r="K194" s="52"/>
      <c r="L194" s="52"/>
      <c r="N194" s="16">
        <v>14</v>
      </c>
      <c r="O194" s="16">
        <v>15</v>
      </c>
      <c r="P194" s="16">
        <v>16</v>
      </c>
      <c r="Q194" s="16">
        <v>17</v>
      </c>
      <c r="R194" s="16">
        <v>18</v>
      </c>
      <c r="S194" s="16">
        <v>19</v>
      </c>
      <c r="T194" s="16">
        <v>20</v>
      </c>
      <c r="U194" s="16">
        <v>21</v>
      </c>
      <c r="V194" s="16">
        <v>22</v>
      </c>
      <c r="W194" s="16">
        <v>23</v>
      </c>
      <c r="X194" s="16">
        <v>24</v>
      </c>
      <c r="Y194" s="16">
        <v>25</v>
      </c>
      <c r="Z194" s="16">
        <v>26</v>
      </c>
      <c r="AA194" s="16">
        <v>27</v>
      </c>
      <c r="AB194" s="16">
        <v>28</v>
      </c>
      <c r="AC194" s="16">
        <v>29</v>
      </c>
      <c r="AD194" s="16">
        <v>30</v>
      </c>
      <c r="AE194" s="16">
        <v>31</v>
      </c>
      <c r="AF194" s="16">
        <v>32</v>
      </c>
      <c r="AG194" s="16">
        <v>33</v>
      </c>
      <c r="AH194" s="16">
        <v>34</v>
      </c>
      <c r="AI194" s="16">
        <v>35</v>
      </c>
      <c r="AJ194" s="16">
        <v>36</v>
      </c>
      <c r="AK194" s="16">
        <v>37</v>
      </c>
      <c r="AL194" s="16">
        <v>38</v>
      </c>
      <c r="AM194" s="16">
        <v>39</v>
      </c>
      <c r="AN194" s="16">
        <v>40</v>
      </c>
      <c r="AO194" s="16">
        <v>41</v>
      </c>
      <c r="AP194" s="16">
        <v>42</v>
      </c>
      <c r="AQ194" s="16">
        <v>43</v>
      </c>
      <c r="AR194" s="16">
        <v>44</v>
      </c>
      <c r="AS194" s="16">
        <v>45</v>
      </c>
      <c r="AT194" s="16">
        <v>46</v>
      </c>
      <c r="AU194" s="16">
        <v>47</v>
      </c>
      <c r="AV194" s="16">
        <v>48</v>
      </c>
      <c r="AW194" s="16">
        <v>49</v>
      </c>
      <c r="AX194" s="16">
        <v>50</v>
      </c>
      <c r="AY194" s="16">
        <v>51</v>
      </c>
      <c r="AZ194" s="16">
        <v>52</v>
      </c>
      <c r="BA194" s="16">
        <v>53</v>
      </c>
      <c r="BB194" s="16">
        <v>54</v>
      </c>
      <c r="BC194" s="16">
        <v>55</v>
      </c>
      <c r="BD194" s="16">
        <v>56</v>
      </c>
      <c r="BE194" s="16">
        <v>57</v>
      </c>
      <c r="BF194" s="16">
        <v>58</v>
      </c>
      <c r="BG194" s="16">
        <v>59</v>
      </c>
      <c r="BH194" s="16">
        <v>60</v>
      </c>
      <c r="BI194" s="16">
        <v>61</v>
      </c>
      <c r="BJ194" s="16">
        <v>62</v>
      </c>
      <c r="BK194" s="16">
        <v>63</v>
      </c>
      <c r="BL194" s="16">
        <v>64</v>
      </c>
      <c r="BM194" s="16">
        <v>65</v>
      </c>
      <c r="BN194" s="16">
        <v>66</v>
      </c>
      <c r="BO194" s="16">
        <v>67</v>
      </c>
      <c r="BP194" s="16">
        <v>68</v>
      </c>
      <c r="BQ194" s="16">
        <v>69</v>
      </c>
      <c r="BR194" s="16">
        <v>70</v>
      </c>
      <c r="BS194" s="16">
        <v>71</v>
      </c>
      <c r="BT194" s="16">
        <v>72</v>
      </c>
      <c r="BU194" s="16">
        <v>73</v>
      </c>
      <c r="BV194" s="16">
        <v>74</v>
      </c>
    </row>
    <row r="195" spans="2:74" hidden="1" x14ac:dyDescent="0.25"/>
    <row r="197" spans="2:74" s="17" customFormat="1" ht="11.45" customHeight="1" x14ac:dyDescent="0.25">
      <c r="J197" s="18"/>
      <c r="K197" s="18"/>
      <c r="L197" s="18"/>
    </row>
    <row r="200" spans="2:74" ht="85.15" customHeight="1" x14ac:dyDescent="0.25">
      <c r="B200" s="85"/>
      <c r="C200" s="85"/>
      <c r="D200" s="85"/>
      <c r="F200" s="1"/>
    </row>
    <row r="202" spans="2:74" x14ac:dyDescent="0.25">
      <c r="B202" s="86"/>
      <c r="C202" s="87"/>
    </row>
    <row r="205" spans="2:74" ht="64.900000000000006" customHeight="1" x14ac:dyDescent="0.25">
      <c r="B205" s="81"/>
      <c r="C205" s="80"/>
    </row>
    <row r="206" spans="2:74" ht="51.6" customHeight="1" x14ac:dyDescent="0.25">
      <c r="B206" s="58"/>
      <c r="C206" s="58"/>
      <c r="D206" s="34"/>
    </row>
    <row r="208" spans="2:74" ht="48" customHeight="1" x14ac:dyDescent="0.25">
      <c r="B208" s="81"/>
      <c r="C208" s="80"/>
    </row>
    <row r="209" spans="2:4" ht="55.15" customHeight="1" x14ac:dyDescent="0.25">
      <c r="B209" s="58"/>
      <c r="C209" s="58"/>
      <c r="D209" s="35"/>
    </row>
    <row r="211" spans="2:4" ht="67.150000000000006" customHeight="1" x14ac:dyDescent="0.25">
      <c r="B211" s="71"/>
      <c r="C211" s="71"/>
    </row>
    <row r="212" spans="2:4" ht="43.9" customHeight="1" x14ac:dyDescent="0.25">
      <c r="B212" s="58"/>
      <c r="C212" s="58"/>
      <c r="D212" s="35"/>
    </row>
  </sheetData>
  <sheetProtection sheet="1" objects="1" scenarios="1" selectLockedCells="1"/>
  <mergeCells count="157">
    <mergeCell ref="B182:D182"/>
    <mergeCell ref="B181:H181"/>
    <mergeCell ref="B211:C211"/>
    <mergeCell ref="B212:C212"/>
    <mergeCell ref="B200:D200"/>
    <mergeCell ref="B202:C202"/>
    <mergeCell ref="B205:C205"/>
    <mergeCell ref="B206:C206"/>
    <mergeCell ref="B208:C208"/>
    <mergeCell ref="B209:C209"/>
    <mergeCell ref="B162:F163"/>
    <mergeCell ref="B153:F153"/>
    <mergeCell ref="B160:F160"/>
    <mergeCell ref="B148:F149"/>
    <mergeCell ref="B155:F156"/>
    <mergeCell ref="B143:H143"/>
    <mergeCell ref="B144:F144"/>
    <mergeCell ref="B151:F151"/>
    <mergeCell ref="B158:F158"/>
    <mergeCell ref="B165:H165"/>
    <mergeCell ref="B166:F167"/>
    <mergeCell ref="B169:H169"/>
    <mergeCell ref="B170:F170"/>
    <mergeCell ref="B172:F173"/>
    <mergeCell ref="B174:F174"/>
    <mergeCell ref="B176:F177"/>
    <mergeCell ref="B82:C82"/>
    <mergeCell ref="D82:H82"/>
    <mergeCell ref="B84:C84"/>
    <mergeCell ref="D84:H84"/>
    <mergeCell ref="D95:H95"/>
    <mergeCell ref="B97:C97"/>
    <mergeCell ref="D101:H102"/>
    <mergeCell ref="D97:H97"/>
    <mergeCell ref="B99:C99"/>
    <mergeCell ref="D99:H99"/>
    <mergeCell ref="B126:C126"/>
    <mergeCell ref="B139:C139"/>
    <mergeCell ref="D139:F139"/>
    <mergeCell ref="B135:C135"/>
    <mergeCell ref="B129:H129"/>
    <mergeCell ref="B130:H130"/>
    <mergeCell ref="B131:C131"/>
    <mergeCell ref="B81:C81"/>
    <mergeCell ref="B120:C120"/>
    <mergeCell ref="D120:H120"/>
    <mergeCell ref="D114:H115"/>
    <mergeCell ref="B86:C86"/>
    <mergeCell ref="D86:H86"/>
    <mergeCell ref="B88:H88"/>
    <mergeCell ref="B91:C91"/>
    <mergeCell ref="D91:H91"/>
    <mergeCell ref="B93:C93"/>
    <mergeCell ref="D93:H93"/>
    <mergeCell ref="B89:C89"/>
    <mergeCell ref="D89:H89"/>
    <mergeCell ref="B118:C118"/>
    <mergeCell ref="B113:H113"/>
    <mergeCell ref="B114:C114"/>
    <mergeCell ref="B117:C117"/>
    <mergeCell ref="B95:C95"/>
    <mergeCell ref="B71:H71"/>
    <mergeCell ref="B72:C72"/>
    <mergeCell ref="D72:H72"/>
    <mergeCell ref="B74:C74"/>
    <mergeCell ref="B76:C76"/>
    <mergeCell ref="D76:H76"/>
    <mergeCell ref="B78:C78"/>
    <mergeCell ref="D78:H78"/>
    <mergeCell ref="B80:C80"/>
    <mergeCell ref="D80:H80"/>
    <mergeCell ref="B41:C41"/>
    <mergeCell ref="D41:H41"/>
    <mergeCell ref="D58:H58"/>
    <mergeCell ref="B60:C60"/>
    <mergeCell ref="D60:H60"/>
    <mergeCell ref="B62:H62"/>
    <mergeCell ref="B63:C63"/>
    <mergeCell ref="D63:H63"/>
    <mergeCell ref="B53:C53"/>
    <mergeCell ref="D53:H53"/>
    <mergeCell ref="D45:H45"/>
    <mergeCell ref="B43:C43"/>
    <mergeCell ref="D43:H43"/>
    <mergeCell ref="B45:C46"/>
    <mergeCell ref="B6:H6"/>
    <mergeCell ref="B8:H8"/>
    <mergeCell ref="B9:H9"/>
    <mergeCell ref="B10:H10"/>
    <mergeCell ref="B12:H12"/>
    <mergeCell ref="B31:C31"/>
    <mergeCell ref="B33:C33"/>
    <mergeCell ref="D33:H33"/>
    <mergeCell ref="B35:C35"/>
    <mergeCell ref="D35:H35"/>
    <mergeCell ref="B25:C25"/>
    <mergeCell ref="D25:H25"/>
    <mergeCell ref="B27:C27"/>
    <mergeCell ref="D27:H27"/>
    <mergeCell ref="B29:C29"/>
    <mergeCell ref="D29:H29"/>
    <mergeCell ref="B19:C19"/>
    <mergeCell ref="D19:H19"/>
    <mergeCell ref="B14:H14"/>
    <mergeCell ref="B16:H16"/>
    <mergeCell ref="B18:H18"/>
    <mergeCell ref="B21:C21"/>
    <mergeCell ref="D21:H21"/>
    <mergeCell ref="B23:C23"/>
    <mergeCell ref="B121:C121"/>
    <mergeCell ref="B142:H142"/>
    <mergeCell ref="B123:C123"/>
    <mergeCell ref="D122:H122"/>
    <mergeCell ref="D23:H23"/>
    <mergeCell ref="B70:H70"/>
    <mergeCell ref="B39:C39"/>
    <mergeCell ref="D39:H39"/>
    <mergeCell ref="B55:H55"/>
    <mergeCell ref="B56:C56"/>
    <mergeCell ref="D56:H56"/>
    <mergeCell ref="B58:C58"/>
    <mergeCell ref="B37:C37"/>
    <mergeCell ref="D37:H37"/>
    <mergeCell ref="B48:H48"/>
    <mergeCell ref="B49:C49"/>
    <mergeCell ref="D49:H49"/>
    <mergeCell ref="B51:C51"/>
    <mergeCell ref="D51:H51"/>
    <mergeCell ref="B65:C65"/>
    <mergeCell ref="D65:H65"/>
    <mergeCell ref="B67:C67"/>
    <mergeCell ref="D74:H74"/>
    <mergeCell ref="D67:H67"/>
    <mergeCell ref="B133:C133"/>
    <mergeCell ref="B137:C137"/>
    <mergeCell ref="D135:H135"/>
    <mergeCell ref="D137:F137"/>
    <mergeCell ref="J101:J102"/>
    <mergeCell ref="B146:F146"/>
    <mergeCell ref="B106:H106"/>
    <mergeCell ref="B107:C107"/>
    <mergeCell ref="D107:H107"/>
    <mergeCell ref="B109:C109"/>
    <mergeCell ref="D109:H109"/>
    <mergeCell ref="B111:C111"/>
    <mergeCell ref="D111:H111"/>
    <mergeCell ref="B101:C101"/>
    <mergeCell ref="B104:C104"/>
    <mergeCell ref="D104:H104"/>
    <mergeCell ref="J114:L115"/>
    <mergeCell ref="J117:L118"/>
    <mergeCell ref="J125:L126"/>
    <mergeCell ref="D117:H118"/>
    <mergeCell ref="B115:C115"/>
    <mergeCell ref="B122:C122"/>
    <mergeCell ref="B125:C125"/>
    <mergeCell ref="D125:H126"/>
  </mergeCells>
  <conditionalFormatting sqref="AJ192 AC192:AF192 X192 AN192:AO192">
    <cfRule type="containsText" dxfId="5" priority="6" operator="containsText" text="NOREP">
      <formula>NOT(ISERROR(SEARCH("NOREP",X192)))</formula>
    </cfRule>
    <cfRule type="containsText" dxfId="4" priority="7" operator="containsText" text="NOFS">
      <formula>NOT(ISERROR(SEARCH("NOFS",X192)))</formula>
    </cfRule>
  </conditionalFormatting>
  <conditionalFormatting sqref="AJ192 AN192:AP192">
    <cfRule type="containsText" dxfId="3" priority="5" operator="containsText" text="NO">
      <formula>NOT(ISERROR(SEARCH("NO",AJ192)))</formula>
    </cfRule>
  </conditionalFormatting>
  <conditionalFormatting sqref="AK192:AM192">
    <cfRule type="containsText" dxfId="2" priority="2" operator="containsText" text="NOREP">
      <formula>NOT(ISERROR(SEARCH("NOREP",AK192)))</formula>
    </cfRule>
    <cfRule type="containsText" dxfId="1" priority="3" operator="containsText" text="NOFS">
      <formula>NOT(ISERROR(SEARCH("NOFS",AK192)))</formula>
    </cfRule>
  </conditionalFormatting>
  <conditionalFormatting sqref="AK192:AM192">
    <cfRule type="containsText" dxfId="0" priority="1" operator="containsText" text="NO">
      <formula>NOT(ISERROR(SEARCH("NO",AK192)))</formula>
    </cfRule>
  </conditionalFormatting>
  <dataValidations count="13">
    <dataValidation type="list" allowBlank="1" showInputMessage="1" showErrorMessage="1" sqref="D29:H29">
      <formula1>GENDER</formula1>
    </dataValidation>
    <dataValidation type="list" allowBlank="1" showInputMessage="1" showErrorMessage="1" sqref="D31 D133 D131">
      <formula1>DAY</formula1>
    </dataValidation>
    <dataValidation type="list" allowBlank="1" showInputMessage="1" showErrorMessage="1" sqref="F31 F133 F131">
      <formula1>MONTH</formula1>
    </dataValidation>
    <dataValidation type="list" allowBlank="1" showInputMessage="1" showErrorMessage="1" sqref="H31 H133 H131">
      <formula1>YEAR</formula1>
    </dataValidation>
    <dataValidation type="list" allowBlank="1" showInputMessage="1" showErrorMessage="1" sqref="D53:H53">
      <formula1>RELATION</formula1>
    </dataValidation>
    <dataValidation type="list" allowBlank="1" showInputMessage="1" showErrorMessage="1" sqref="D41:H41">
      <formula1>MAJOR</formula1>
    </dataValidation>
    <dataValidation type="list" allowBlank="1" showInputMessage="1" showErrorMessage="1" sqref="D120:H120 H162 H155 H148 H176 H166 D39 D109 D122:H122">
      <formula1>YESNO</formula1>
    </dataValidation>
    <dataValidation type="list" allowBlank="1" showInputMessage="1" showErrorMessage="1" sqref="H137 H139">
      <formula1>GROSSNET</formula1>
    </dataValidation>
    <dataValidation type="list" allowBlank="1" showInputMessage="1" showErrorMessage="1" sqref="D135:H135">
      <formula1>WORKDAYS</formula1>
    </dataValidation>
    <dataValidation type="list" allowBlank="1" showInputMessage="1" showErrorMessage="1" sqref="D101">
      <formula1>CATEGORY</formula1>
    </dataValidation>
    <dataValidation type="list" allowBlank="1" showInputMessage="1" showErrorMessage="1" sqref="D43:H43">
      <formula1>TYPE</formula1>
    </dataValidation>
    <dataValidation type="list" allowBlank="1" showInputMessage="1" showErrorMessage="1" sqref="H172">
      <formula1>DIGITS</formula1>
    </dataValidation>
    <dataValidation type="list" allowBlank="1" showInputMessage="1" showErrorMessage="1" sqref="H144 H158 H151">
      <formula1>CREDITSMISSING</formula1>
    </dataValidation>
  </dataValidations>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026" r:id="rId4" name="CommandButton1">
          <controlPr defaultSize="0" autoLine="0" autoPict="0" r:id="rId5">
            <anchor moveWithCells="1">
              <from>
                <xdr:col>7</xdr:col>
                <xdr:colOff>0</xdr:colOff>
                <xdr:row>178</xdr:row>
                <xdr:rowOff>0</xdr:rowOff>
              </from>
              <to>
                <xdr:col>8</xdr:col>
                <xdr:colOff>28575</xdr:colOff>
                <xdr:row>181</xdr:row>
                <xdr:rowOff>180975</xdr:rowOff>
              </to>
            </anchor>
          </controlPr>
        </control>
      </mc:Choice>
      <mc:Fallback>
        <control shapeId="1026"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12"/>
  <sheetViews>
    <sheetView topLeftCell="A49" workbookViewId="0">
      <selection activeCell="J7" sqref="J7"/>
    </sheetView>
  </sheetViews>
  <sheetFormatPr defaultColWidth="8.85546875" defaultRowHeight="15" x14ac:dyDescent="0.25"/>
  <cols>
    <col min="1" max="1" width="4.42578125" style="37" customWidth="1"/>
    <col min="2" max="2" width="1.140625" style="37" customWidth="1"/>
    <col min="3" max="3" width="18.28515625" style="37" customWidth="1"/>
    <col min="4" max="6" width="8.85546875" style="37"/>
    <col min="7" max="7" width="20.5703125" style="37" customWidth="1"/>
    <col min="8" max="8" width="4.42578125" style="37" customWidth="1"/>
    <col min="9" max="16384" width="8.85546875" style="37"/>
  </cols>
  <sheetData>
    <row r="1" spans="1:8" ht="49.15" customHeight="1" x14ac:dyDescent="0.25">
      <c r="A1" s="39"/>
      <c r="B1" s="88" t="str">
        <f>'FACT SHEET'!B6</f>
        <v>ASIS - Graduation Fact Sheet</v>
      </c>
      <c r="C1" s="88"/>
      <c r="D1" s="88"/>
      <c r="E1" s="88"/>
      <c r="F1" s="88"/>
      <c r="G1" s="88"/>
      <c r="H1" s="39"/>
    </row>
    <row r="2" spans="1:8" ht="23.45" customHeight="1" x14ac:dyDescent="0.25">
      <c r="A2" s="39"/>
      <c r="B2" s="38"/>
      <c r="C2" s="90" t="str">
        <f>'FACT SHEET'!B18</f>
        <v>Section A: Student Information</v>
      </c>
      <c r="D2" s="90"/>
      <c r="E2" s="90"/>
      <c r="F2" s="90"/>
      <c r="G2" s="90"/>
      <c r="H2" s="39"/>
    </row>
    <row r="3" spans="1:8" x14ac:dyDescent="0.25">
      <c r="A3" s="39"/>
      <c r="B3" s="39"/>
      <c r="C3" s="39"/>
      <c r="D3" s="39"/>
      <c r="E3" s="39"/>
      <c r="F3" s="39"/>
      <c r="G3" s="39"/>
    </row>
    <row r="4" spans="1:8" x14ac:dyDescent="0.25">
      <c r="A4" s="39"/>
      <c r="B4" s="39"/>
      <c r="C4" s="40" t="str">
        <f>'FACT SHEET'!B19</f>
        <v>Student Number:</v>
      </c>
      <c r="D4" s="41">
        <f>'FACT SHEET'!D19</f>
        <v>0</v>
      </c>
      <c r="E4" s="42"/>
      <c r="F4" s="42"/>
      <c r="G4" s="42"/>
      <c r="H4" s="39"/>
    </row>
    <row r="5" spans="1:8" x14ac:dyDescent="0.25">
      <c r="A5" s="39"/>
      <c r="B5" s="39"/>
      <c r="C5" s="40" t="str">
        <f>'FACT SHEET'!B21</f>
        <v>First Name:</v>
      </c>
      <c r="D5" s="43">
        <f>'FACT SHEET'!D21</f>
        <v>0</v>
      </c>
      <c r="E5" s="42"/>
      <c r="F5" s="42"/>
      <c r="G5" s="42"/>
      <c r="H5" s="39"/>
    </row>
    <row r="6" spans="1:8" x14ac:dyDescent="0.25">
      <c r="A6" s="39"/>
      <c r="B6" s="39"/>
      <c r="C6" s="40" t="str">
        <f>'FACT SHEET'!B23</f>
        <v>Initials:</v>
      </c>
      <c r="D6" s="43">
        <f>'FACT SHEET'!D23</f>
        <v>0</v>
      </c>
      <c r="E6" s="42"/>
      <c r="F6" s="42"/>
      <c r="G6" s="42"/>
      <c r="H6" s="39"/>
    </row>
    <row r="7" spans="1:8" x14ac:dyDescent="0.25">
      <c r="A7" s="39"/>
      <c r="B7" s="39"/>
      <c r="C7" s="40" t="str">
        <f>'FACT SHEET'!B25</f>
        <v>Prefix:</v>
      </c>
      <c r="D7" s="43">
        <f>'FACT SHEET'!D25</f>
        <v>0</v>
      </c>
      <c r="E7" s="42"/>
      <c r="F7" s="42"/>
      <c r="G7" s="42"/>
      <c r="H7" s="39"/>
    </row>
    <row r="8" spans="1:8" x14ac:dyDescent="0.25">
      <c r="A8" s="39"/>
      <c r="B8" s="39"/>
      <c r="C8" s="40" t="str">
        <f>'FACT SHEET'!B27</f>
        <v>Last Name:</v>
      </c>
      <c r="D8" s="43">
        <f>'FACT SHEET'!D27</f>
        <v>0</v>
      </c>
      <c r="E8" s="42"/>
      <c r="F8" s="42"/>
      <c r="G8" s="42"/>
      <c r="H8" s="39"/>
    </row>
    <row r="9" spans="1:8" x14ac:dyDescent="0.25">
      <c r="A9" s="39"/>
      <c r="B9" s="39"/>
      <c r="C9" s="40" t="str">
        <f>'FACT SHEET'!B29</f>
        <v>Gender:</v>
      </c>
      <c r="D9" s="43">
        <f>'FACT SHEET'!D29</f>
        <v>0</v>
      </c>
      <c r="E9" s="42"/>
      <c r="F9" s="42"/>
      <c r="G9" s="42"/>
      <c r="H9" s="39"/>
    </row>
    <row r="10" spans="1:8" x14ac:dyDescent="0.25">
      <c r="A10" s="39"/>
      <c r="B10" s="39"/>
      <c r="C10" s="40" t="str">
        <f>'FACT SHEET'!B31</f>
        <v>Date of Birth:</v>
      </c>
      <c r="D10" s="43">
        <f>'FACT SHEET'!D31</f>
        <v>0</v>
      </c>
      <c r="E10" s="43">
        <f>'FACT SHEET'!F31</f>
        <v>0</v>
      </c>
      <c r="F10" s="43">
        <f>'FACT SHEET'!H31</f>
        <v>0</v>
      </c>
      <c r="G10" s="43"/>
      <c r="H10" s="39"/>
    </row>
    <row r="11" spans="1:8" x14ac:dyDescent="0.25">
      <c r="A11" s="39"/>
      <c r="B11" s="39"/>
      <c r="C11" s="40" t="str">
        <f>'FACT SHEET'!B33</f>
        <v>Nationality:</v>
      </c>
      <c r="D11" s="43">
        <f>'FACT SHEET'!D33:H33</f>
        <v>0</v>
      </c>
      <c r="E11" s="43"/>
      <c r="F11" s="43"/>
      <c r="G11" s="43"/>
      <c r="H11" s="39"/>
    </row>
    <row r="12" spans="1:8" x14ac:dyDescent="0.25">
      <c r="A12" s="39"/>
      <c r="B12" s="39"/>
      <c r="C12" s="40" t="str">
        <f>'FACT SHEET'!B35</f>
        <v>Private E-Mail:</v>
      </c>
      <c r="D12" s="43">
        <f>'FACT SHEET'!D35:H35</f>
        <v>0</v>
      </c>
      <c r="E12" s="43"/>
      <c r="F12" s="43"/>
      <c r="G12" s="43"/>
      <c r="H12" s="39"/>
    </row>
    <row r="13" spans="1:8" x14ac:dyDescent="0.25">
      <c r="A13" s="39"/>
      <c r="B13" s="39"/>
      <c r="C13" s="40" t="str">
        <f>'FACT SHEET'!B37</f>
        <v>Mobile:</v>
      </c>
      <c r="D13" s="43">
        <f>'FACT SHEET'!D37:H37</f>
        <v>0</v>
      </c>
      <c r="E13" s="43"/>
      <c r="F13" s="43"/>
      <c r="G13" s="43"/>
      <c r="H13" s="39"/>
    </row>
    <row r="14" spans="1:8" x14ac:dyDescent="0.25">
      <c r="A14" s="39"/>
      <c r="B14" s="39"/>
      <c r="C14" s="40" t="str">
        <f>'FACT SHEET'!B39</f>
        <v>Resit:</v>
      </c>
      <c r="D14" s="43">
        <f>'FACT SHEET'!D39:H39</f>
        <v>0</v>
      </c>
      <c r="E14" s="43"/>
      <c r="F14" s="43"/>
      <c r="G14" s="43"/>
      <c r="H14" s="39"/>
    </row>
    <row r="15" spans="1:8" x14ac:dyDescent="0.25">
      <c r="A15" s="39"/>
      <c r="B15" s="39"/>
      <c r="C15" s="40" t="str">
        <f>'FACT SHEET'!B41</f>
        <v>Major:</v>
      </c>
      <c r="D15" s="43">
        <f>'FACT SHEET'!D41:H41</f>
        <v>0</v>
      </c>
      <c r="E15" s="43"/>
      <c r="F15" s="43"/>
      <c r="G15" s="43"/>
      <c r="H15" s="39"/>
    </row>
    <row r="16" spans="1:8" x14ac:dyDescent="0.25">
      <c r="A16" s="39"/>
      <c r="B16" s="39"/>
      <c r="C16" s="40" t="str">
        <f>'FACT SHEET'!B43</f>
        <v>Single / Double:</v>
      </c>
      <c r="D16" s="43">
        <f>'FACT SHEET'!D43:H43</f>
        <v>0</v>
      </c>
      <c r="E16" s="43"/>
      <c r="F16" s="43"/>
      <c r="G16" s="43"/>
      <c r="H16" s="39"/>
    </row>
    <row r="17" spans="1:8" x14ac:dyDescent="0.25">
      <c r="A17" s="39"/>
      <c r="B17" s="39"/>
      <c r="C17" s="40" t="str">
        <f>'FACT SHEET'!B45</f>
        <v>Home School DD:</v>
      </c>
      <c r="D17" s="43">
        <f>'FACT SHEET'!D45:H45</f>
        <v>0</v>
      </c>
      <c r="E17" s="43"/>
      <c r="F17" s="43"/>
      <c r="G17" s="43"/>
      <c r="H17" s="39"/>
    </row>
    <row r="18" spans="1:8" x14ac:dyDescent="0.25">
      <c r="A18" s="39"/>
      <c r="B18" s="39"/>
      <c r="C18" s="40"/>
      <c r="D18" s="42"/>
      <c r="E18" s="42"/>
      <c r="F18" s="42"/>
      <c r="G18" s="42"/>
      <c r="H18" s="39"/>
    </row>
    <row r="19" spans="1:8" ht="23.25" x14ac:dyDescent="0.25">
      <c r="A19" s="39"/>
      <c r="B19" s="44"/>
      <c r="C19" s="91" t="s">
        <v>216</v>
      </c>
      <c r="D19" s="91"/>
      <c r="E19" s="91"/>
      <c r="F19" s="91"/>
      <c r="G19" s="91"/>
      <c r="H19" s="39"/>
    </row>
    <row r="20" spans="1:8" x14ac:dyDescent="0.25">
      <c r="A20" s="39"/>
      <c r="B20" s="39"/>
      <c r="C20" s="40"/>
      <c r="D20" s="42"/>
      <c r="E20" s="42"/>
      <c r="F20" s="42"/>
      <c r="G20" s="42"/>
      <c r="H20" s="39"/>
    </row>
    <row r="21" spans="1:8" x14ac:dyDescent="0.25">
      <c r="A21" s="39"/>
      <c r="B21" s="39"/>
      <c r="C21" s="40" t="str">
        <f>'FACT SHEET'!B49</f>
        <v>Contact Name:</v>
      </c>
      <c r="D21" s="42">
        <f>'FACT SHEET'!D49:H49</f>
        <v>0</v>
      </c>
      <c r="E21" s="42"/>
      <c r="F21" s="42"/>
      <c r="G21" s="42"/>
      <c r="H21" s="39"/>
    </row>
    <row r="22" spans="1:8" x14ac:dyDescent="0.25">
      <c r="A22" s="39"/>
      <c r="B22" s="39"/>
      <c r="C22" s="40" t="str">
        <f>'FACT SHEET'!B51</f>
        <v>Contact Telephone:</v>
      </c>
      <c r="D22" s="42">
        <f>'FACT SHEET'!D51:H51</f>
        <v>0</v>
      </c>
      <c r="E22" s="42"/>
      <c r="F22" s="42"/>
      <c r="G22" s="42"/>
      <c r="H22" s="39"/>
    </row>
    <row r="23" spans="1:8" x14ac:dyDescent="0.25">
      <c r="A23" s="39"/>
      <c r="B23" s="39"/>
      <c r="C23" s="40" t="str">
        <f>'FACT SHEET'!B53</f>
        <v>Relation:</v>
      </c>
      <c r="D23" s="42">
        <f>'FACT SHEET'!D53:H53</f>
        <v>0</v>
      </c>
      <c r="E23" s="42"/>
      <c r="F23" s="42"/>
      <c r="G23" s="42"/>
      <c r="H23" s="39"/>
    </row>
    <row r="24" spans="1:8" x14ac:dyDescent="0.25">
      <c r="A24" s="39"/>
      <c r="B24" s="39"/>
      <c r="C24" s="40"/>
      <c r="D24" s="42"/>
      <c r="E24" s="42"/>
      <c r="F24" s="42"/>
      <c r="G24" s="42"/>
      <c r="H24" s="39"/>
    </row>
    <row r="25" spans="1:8" ht="23.25" x14ac:dyDescent="0.25">
      <c r="A25" s="39"/>
      <c r="B25" s="44"/>
      <c r="C25" s="91" t="s">
        <v>215</v>
      </c>
      <c r="D25" s="91"/>
      <c r="E25" s="91"/>
      <c r="F25" s="91"/>
      <c r="G25" s="91"/>
      <c r="H25" s="39"/>
    </row>
    <row r="26" spans="1:8" x14ac:dyDescent="0.25">
      <c r="A26" s="39"/>
      <c r="B26" s="39"/>
      <c r="C26" s="40"/>
      <c r="D26" s="42"/>
      <c r="E26" s="42"/>
      <c r="F26" s="42"/>
      <c r="G26" s="42"/>
      <c r="H26" s="39"/>
    </row>
    <row r="27" spans="1:8" x14ac:dyDescent="0.25">
      <c r="A27" s="39"/>
      <c r="B27" s="39"/>
      <c r="C27" s="40" t="str">
        <f>'FACT SHEET'!B56</f>
        <v>Country:</v>
      </c>
      <c r="D27" s="42">
        <f>'FACT SHEET'!D56:H56</f>
        <v>0</v>
      </c>
      <c r="E27" s="42"/>
      <c r="F27" s="42"/>
      <c r="G27" s="42"/>
      <c r="H27" s="39"/>
    </row>
    <row r="28" spans="1:8" x14ac:dyDescent="0.25">
      <c r="A28" s="39"/>
      <c r="B28" s="39"/>
      <c r="C28" s="40" t="str">
        <f>'FACT SHEET'!B58</f>
        <v>Company:</v>
      </c>
      <c r="D28" s="42">
        <f>'FACT SHEET'!D58:H58</f>
        <v>0</v>
      </c>
      <c r="E28" s="42"/>
      <c r="F28" s="42"/>
      <c r="G28" s="42"/>
      <c r="H28" s="39"/>
    </row>
    <row r="29" spans="1:8" x14ac:dyDescent="0.25">
      <c r="A29" s="39"/>
      <c r="B29" s="39"/>
      <c r="C29" s="40" t="str">
        <f>'FACT SHEET'!B60</f>
        <v>Department:</v>
      </c>
      <c r="D29" s="42">
        <f>'FACT SHEET'!D60:H60</f>
        <v>0</v>
      </c>
      <c r="E29" s="42"/>
      <c r="F29" s="42"/>
      <c r="G29" s="42"/>
      <c r="H29" s="39"/>
    </row>
    <row r="30" spans="1:8" x14ac:dyDescent="0.25">
      <c r="A30" s="39"/>
      <c r="B30" s="39"/>
      <c r="C30" s="40"/>
      <c r="D30" s="42"/>
      <c r="E30" s="42"/>
      <c r="F30" s="42"/>
      <c r="G30" s="42"/>
      <c r="H30" s="39"/>
    </row>
    <row r="31" spans="1:8" ht="23.25" x14ac:dyDescent="0.25">
      <c r="A31" s="39"/>
      <c r="B31" s="44"/>
      <c r="C31" s="91" t="s">
        <v>217</v>
      </c>
      <c r="D31" s="91"/>
      <c r="E31" s="91"/>
      <c r="F31" s="91"/>
      <c r="G31" s="91"/>
      <c r="H31" s="39"/>
    </row>
    <row r="32" spans="1:8" x14ac:dyDescent="0.25">
      <c r="A32" s="39"/>
      <c r="B32" s="39"/>
      <c r="C32" s="40"/>
      <c r="D32" s="42"/>
      <c r="E32" s="42"/>
      <c r="F32" s="42"/>
      <c r="G32" s="42"/>
      <c r="H32" s="39"/>
    </row>
    <row r="33" spans="1:8" x14ac:dyDescent="0.25">
      <c r="A33" s="39"/>
      <c r="B33" s="39"/>
      <c r="C33" s="40" t="str">
        <f>'FACT SHEET'!B63</f>
        <v>Country:</v>
      </c>
      <c r="D33" s="42">
        <f>'FACT SHEET'!D63:H63</f>
        <v>0</v>
      </c>
      <c r="E33" s="42"/>
      <c r="F33" s="42"/>
      <c r="G33" s="42"/>
      <c r="H33" s="39"/>
    </row>
    <row r="34" spans="1:8" x14ac:dyDescent="0.25">
      <c r="A34" s="39"/>
      <c r="B34" s="39"/>
      <c r="C34" s="40" t="str">
        <f>'FACT SHEET'!B65</f>
        <v>University:</v>
      </c>
      <c r="D34" s="42">
        <f>'FACT SHEET'!D65:H65</f>
        <v>0</v>
      </c>
      <c r="E34" s="42"/>
      <c r="F34" s="42"/>
      <c r="G34" s="42"/>
      <c r="H34" s="39"/>
    </row>
    <row r="35" spans="1:8" x14ac:dyDescent="0.25">
      <c r="A35" s="39"/>
      <c r="B35" s="39"/>
      <c r="C35" s="39"/>
      <c r="D35" s="39"/>
      <c r="E35" s="39"/>
      <c r="F35" s="39"/>
      <c r="G35" s="39"/>
      <c r="H35" s="39"/>
    </row>
    <row r="36" spans="1:8" ht="23.25" x14ac:dyDescent="0.25">
      <c r="A36" s="39"/>
      <c r="B36" s="38"/>
      <c r="C36" s="90" t="str">
        <f>'FACT SHEET'!B70</f>
        <v>Section B: Graduation Assignment &amp; Activities</v>
      </c>
      <c r="D36" s="90"/>
      <c r="E36" s="90"/>
      <c r="F36" s="90"/>
      <c r="G36" s="90"/>
      <c r="H36" s="39"/>
    </row>
    <row r="37" spans="1:8" x14ac:dyDescent="0.25">
      <c r="A37" s="39"/>
      <c r="B37" s="39"/>
      <c r="C37" s="39"/>
      <c r="D37" s="39"/>
      <c r="E37" s="39"/>
      <c r="F37" s="39"/>
      <c r="G37" s="39"/>
      <c r="H37" s="39"/>
    </row>
    <row r="38" spans="1:8" x14ac:dyDescent="0.25">
      <c r="A38" s="39"/>
      <c r="B38" s="39"/>
      <c r="C38" s="45" t="str">
        <f>'FACT SHEET'!B72</f>
        <v>Company Contact:</v>
      </c>
      <c r="D38" s="39">
        <f>'FACT SHEET'!D72:H72</f>
        <v>0</v>
      </c>
      <c r="E38" s="39"/>
      <c r="F38" s="39"/>
      <c r="G38" s="39"/>
      <c r="H38" s="39"/>
    </row>
    <row r="39" spans="1:8" x14ac:dyDescent="0.25">
      <c r="A39" s="39"/>
      <c r="B39" s="39"/>
      <c r="C39" s="45" t="str">
        <f>'FACT SHEET'!B74</f>
        <v>Position:</v>
      </c>
      <c r="D39" s="39">
        <f>'FACT SHEET'!D74:H74</f>
        <v>0</v>
      </c>
      <c r="E39" s="39"/>
      <c r="F39" s="39"/>
      <c r="G39" s="39"/>
      <c r="H39" s="39"/>
    </row>
    <row r="40" spans="1:8" x14ac:dyDescent="0.25">
      <c r="A40" s="39"/>
      <c r="B40" s="39"/>
      <c r="C40" s="45" t="str">
        <f>'FACT SHEET'!B76</f>
        <v>Contact E-Mail:</v>
      </c>
      <c r="D40" s="39">
        <f>'FACT SHEET'!D76:H76</f>
        <v>0</v>
      </c>
      <c r="E40" s="39"/>
      <c r="F40" s="39"/>
      <c r="G40" s="39"/>
      <c r="H40" s="39"/>
    </row>
    <row r="41" spans="1:8" x14ac:dyDescent="0.25">
      <c r="A41" s="39"/>
      <c r="B41" s="39"/>
      <c r="C41" s="45" t="str">
        <f>'FACT SHEET'!B78</f>
        <v>Telephone:</v>
      </c>
      <c r="D41" s="39">
        <f>'FACT SHEET'!D78:H78</f>
        <v>0</v>
      </c>
      <c r="E41" s="39"/>
      <c r="F41" s="39"/>
      <c r="G41" s="39"/>
      <c r="H41" s="39"/>
    </row>
    <row r="42" spans="1:8" x14ac:dyDescent="0.25">
      <c r="A42" s="39"/>
      <c r="B42" s="39"/>
      <c r="C42" s="45" t="str">
        <f>'FACT SHEET'!B80</f>
        <v>Company Mentor:</v>
      </c>
      <c r="D42" s="39">
        <f>'FACT SHEET'!D80:H80</f>
        <v>0</v>
      </c>
      <c r="E42" s="39"/>
      <c r="F42" s="39"/>
      <c r="G42" s="39"/>
      <c r="H42" s="39"/>
    </row>
    <row r="43" spans="1:8" x14ac:dyDescent="0.25">
      <c r="A43" s="39"/>
      <c r="B43" s="39"/>
      <c r="C43" s="45" t="str">
        <f>'FACT SHEET'!B82</f>
        <v>Position:</v>
      </c>
      <c r="D43" s="39">
        <f>'FACT SHEET'!D82:H82</f>
        <v>0</v>
      </c>
      <c r="E43" s="39"/>
      <c r="F43" s="39"/>
      <c r="G43" s="39"/>
      <c r="H43" s="39"/>
    </row>
    <row r="44" spans="1:8" x14ac:dyDescent="0.25">
      <c r="A44" s="39"/>
      <c r="B44" s="39"/>
      <c r="C44" s="45" t="str">
        <f>'FACT SHEET'!B84</f>
        <v>Mentor E-Mail:</v>
      </c>
      <c r="D44" s="39">
        <f>'FACT SHEET'!D84:H84</f>
        <v>0</v>
      </c>
      <c r="E44" s="39"/>
      <c r="F44" s="39"/>
      <c r="G44" s="39"/>
      <c r="H44" s="39"/>
    </row>
    <row r="45" spans="1:8" x14ac:dyDescent="0.25">
      <c r="A45" s="39"/>
      <c r="B45" s="39"/>
      <c r="C45" s="45" t="str">
        <f>'FACT SHEET'!B86</f>
        <v>Telephone:</v>
      </c>
      <c r="D45" s="39">
        <f>'FACT SHEET'!D86:H86</f>
        <v>0</v>
      </c>
      <c r="E45" s="39"/>
      <c r="F45" s="39"/>
      <c r="G45" s="39"/>
      <c r="H45" s="39"/>
    </row>
    <row r="46" spans="1:8" x14ac:dyDescent="0.25">
      <c r="A46" s="39"/>
      <c r="B46" s="39"/>
      <c r="C46" s="39"/>
      <c r="D46" s="39"/>
      <c r="E46" s="39"/>
      <c r="F46" s="39"/>
      <c r="G46" s="39"/>
      <c r="H46" s="39"/>
    </row>
    <row r="47" spans="1:8" ht="23.25" x14ac:dyDescent="0.25">
      <c r="A47" s="39"/>
      <c r="B47" s="44"/>
      <c r="C47" s="89" t="s">
        <v>218</v>
      </c>
      <c r="D47" s="89"/>
      <c r="E47" s="89"/>
      <c r="F47" s="89"/>
      <c r="G47" s="89"/>
      <c r="H47" s="39"/>
    </row>
    <row r="48" spans="1:8" x14ac:dyDescent="0.25">
      <c r="A48" s="39"/>
      <c r="B48" s="39"/>
      <c r="C48" s="39"/>
      <c r="D48" s="39"/>
      <c r="E48" s="39"/>
      <c r="F48" s="39"/>
      <c r="G48" s="39"/>
      <c r="H48" s="39"/>
    </row>
    <row r="49" spans="1:8" x14ac:dyDescent="0.25">
      <c r="A49" s="39"/>
      <c r="B49" s="39"/>
      <c r="C49" s="45" t="str">
        <f>'FACT SHEET'!B89</f>
        <v>Company Name:</v>
      </c>
      <c r="D49" s="39">
        <f>'FACT SHEET'!D89:H89</f>
        <v>0</v>
      </c>
      <c r="E49" s="39"/>
      <c r="F49" s="39"/>
      <c r="G49" s="39"/>
      <c r="H49" s="39"/>
    </row>
    <row r="50" spans="1:8" x14ac:dyDescent="0.25">
      <c r="A50" s="39"/>
      <c r="B50" s="39"/>
      <c r="C50" s="45" t="str">
        <f>'FACT SHEET'!B91</f>
        <v>Street and No:</v>
      </c>
      <c r="D50" s="39">
        <f>'FACT SHEET'!D91:H91</f>
        <v>0</v>
      </c>
      <c r="E50" s="39"/>
      <c r="F50" s="39"/>
      <c r="G50" s="39"/>
      <c r="H50" s="39"/>
    </row>
    <row r="51" spans="1:8" x14ac:dyDescent="0.25">
      <c r="A51" s="39"/>
      <c r="B51" s="39"/>
      <c r="C51" s="45" t="str">
        <f>'FACT SHEET'!B93</f>
        <v>Postcode:</v>
      </c>
      <c r="D51" s="39">
        <f>'FACT SHEET'!D93:H93</f>
        <v>0</v>
      </c>
      <c r="E51" s="39"/>
      <c r="F51" s="39"/>
      <c r="G51" s="39"/>
      <c r="H51" s="39"/>
    </row>
    <row r="52" spans="1:8" x14ac:dyDescent="0.25">
      <c r="A52" s="39"/>
      <c r="B52" s="39"/>
      <c r="C52" s="45" t="str">
        <f>'FACT SHEET'!B95</f>
        <v>City:</v>
      </c>
      <c r="D52" s="39">
        <f>'FACT SHEET'!D95:H95</f>
        <v>0</v>
      </c>
      <c r="E52" s="39"/>
      <c r="F52" s="39"/>
      <c r="G52" s="39"/>
      <c r="H52" s="39"/>
    </row>
    <row r="53" spans="1:8" x14ac:dyDescent="0.25">
      <c r="A53" s="39"/>
      <c r="B53" s="39"/>
      <c r="C53" s="45" t="str">
        <f>'FACT SHEET'!B97</f>
        <v>Country:</v>
      </c>
      <c r="D53" s="39">
        <f>'FACT SHEET'!D97:H97</f>
        <v>0</v>
      </c>
      <c r="E53" s="39"/>
      <c r="F53" s="39"/>
      <c r="G53" s="39"/>
      <c r="H53" s="39"/>
    </row>
    <row r="54" spans="1:8" x14ac:dyDescent="0.25">
      <c r="A54" s="39"/>
      <c r="B54" s="39"/>
      <c r="C54" s="45" t="str">
        <f>'FACT SHEET'!B99</f>
        <v>Website:</v>
      </c>
      <c r="D54" s="39">
        <f>'FACT SHEET'!D99:H99</f>
        <v>0</v>
      </c>
      <c r="E54" s="39"/>
      <c r="F54" s="39"/>
      <c r="G54" s="39"/>
      <c r="H54" s="39"/>
    </row>
    <row r="55" spans="1:8" x14ac:dyDescent="0.25">
      <c r="A55" s="39"/>
      <c r="B55" s="39"/>
      <c r="C55" s="45" t="str">
        <f>'FACT SHEET'!B101</f>
        <v>Category:</v>
      </c>
      <c r="D55" s="39">
        <f>'FACT SHEET'!D101</f>
        <v>0</v>
      </c>
      <c r="E55" s="39"/>
      <c r="F55" s="39"/>
      <c r="G55" s="39"/>
      <c r="H55" s="39"/>
    </row>
    <row r="56" spans="1:8" x14ac:dyDescent="0.25">
      <c r="A56" s="39"/>
      <c r="B56" s="39"/>
      <c r="C56" s="45" t="str">
        <f>'FACT SHEET'!B104</f>
        <v>Department:</v>
      </c>
      <c r="D56" s="39">
        <f>'FACT SHEET'!D104:H104</f>
        <v>0</v>
      </c>
      <c r="E56" s="39"/>
      <c r="F56" s="39"/>
      <c r="G56" s="39"/>
      <c r="H56" s="39"/>
    </row>
    <row r="57" spans="1:8" x14ac:dyDescent="0.25">
      <c r="A57" s="39"/>
      <c r="B57" s="39"/>
      <c r="C57" s="39"/>
      <c r="D57" s="39"/>
      <c r="E57" s="39"/>
      <c r="F57" s="39"/>
      <c r="G57" s="39"/>
      <c r="H57" s="39"/>
    </row>
    <row r="58" spans="1:8" ht="23.25" x14ac:dyDescent="0.25">
      <c r="A58" s="39"/>
      <c r="B58" s="44"/>
      <c r="C58" s="89" t="s">
        <v>219</v>
      </c>
      <c r="D58" s="89"/>
      <c r="E58" s="89"/>
      <c r="F58" s="89"/>
      <c r="G58" s="89"/>
      <c r="H58" s="39"/>
    </row>
    <row r="59" spans="1:8" x14ac:dyDescent="0.25">
      <c r="A59" s="39"/>
      <c r="B59" s="39"/>
      <c r="C59" s="39"/>
      <c r="D59" s="39"/>
      <c r="E59" s="39"/>
      <c r="F59" s="39"/>
      <c r="G59" s="39"/>
      <c r="H59" s="39"/>
    </row>
    <row r="60" spans="1:8" x14ac:dyDescent="0.25">
      <c r="A60" s="39"/>
      <c r="B60" s="39"/>
      <c r="C60" s="45" t="str">
        <f>'FACT SHEET'!B107</f>
        <v>Found via:</v>
      </c>
      <c r="D60" s="39">
        <f>'FACT SHEET'!D107:H107</f>
        <v>0</v>
      </c>
      <c r="E60" s="39"/>
      <c r="F60" s="39"/>
      <c r="G60" s="39"/>
      <c r="H60" s="39"/>
    </row>
    <row r="61" spans="1:8" x14ac:dyDescent="0.25">
      <c r="A61" s="39"/>
      <c r="B61" s="39"/>
      <c r="C61" s="45" t="str">
        <f>'FACT SHEET'!B109</f>
        <v>Intermediary:</v>
      </c>
      <c r="D61" s="39">
        <f>'FACT SHEET'!D109:H109</f>
        <v>0</v>
      </c>
      <c r="E61" s="39"/>
      <c r="F61" s="39"/>
      <c r="G61" s="39"/>
      <c r="H61" s="39"/>
    </row>
    <row r="62" spans="1:8" x14ac:dyDescent="0.25">
      <c r="A62" s="39"/>
      <c r="B62" s="39"/>
      <c r="C62" s="45" t="str">
        <f>'FACT SHEET'!B111</f>
        <v>Name Intermediary:</v>
      </c>
      <c r="D62" s="39">
        <f>'FACT SHEET'!D111:H111</f>
        <v>0</v>
      </c>
      <c r="E62" s="39"/>
      <c r="F62" s="39"/>
      <c r="G62" s="39"/>
      <c r="H62" s="39"/>
    </row>
    <row r="63" spans="1:8" x14ac:dyDescent="0.25">
      <c r="A63" s="39"/>
      <c r="B63" s="39"/>
      <c r="C63" s="39"/>
      <c r="D63" s="39"/>
      <c r="E63" s="39"/>
      <c r="F63" s="39"/>
      <c r="G63" s="39"/>
      <c r="H63" s="39"/>
    </row>
    <row r="64" spans="1:8" ht="23.25" x14ac:dyDescent="0.25">
      <c r="A64" s="39"/>
      <c r="B64" s="44"/>
      <c r="C64" s="89" t="s">
        <v>220</v>
      </c>
      <c r="D64" s="89"/>
      <c r="E64" s="89"/>
      <c r="F64" s="89"/>
      <c r="G64" s="89"/>
      <c r="H64" s="39"/>
    </row>
    <row r="65" spans="1:8" x14ac:dyDescent="0.25">
      <c r="A65" s="39"/>
      <c r="B65" s="39"/>
      <c r="C65" s="39"/>
      <c r="D65" s="39"/>
      <c r="E65" s="39"/>
      <c r="F65" s="39"/>
      <c r="G65" s="39"/>
      <c r="H65" s="39"/>
    </row>
    <row r="66" spans="1:8" ht="120" customHeight="1" x14ac:dyDescent="0.25">
      <c r="A66" s="39"/>
      <c r="B66" s="49"/>
      <c r="C66" s="92">
        <f>'FACT SHEET'!D114</f>
        <v>0</v>
      </c>
      <c r="D66" s="92"/>
      <c r="E66" s="92"/>
      <c r="F66" s="92"/>
      <c r="G66" s="93"/>
      <c r="H66" s="39"/>
    </row>
    <row r="67" spans="1:8" x14ac:dyDescent="0.25">
      <c r="A67" s="39"/>
      <c r="B67" s="39"/>
      <c r="C67" s="39"/>
      <c r="D67" s="39"/>
      <c r="E67" s="39"/>
      <c r="F67" s="39"/>
      <c r="G67" s="39"/>
      <c r="H67" s="39"/>
    </row>
    <row r="68" spans="1:8" ht="23.25" x14ac:dyDescent="0.25">
      <c r="A68" s="39"/>
      <c r="B68" s="44"/>
      <c r="C68" s="89" t="s">
        <v>221</v>
      </c>
      <c r="D68" s="89"/>
      <c r="E68" s="89"/>
      <c r="F68" s="89"/>
      <c r="G68" s="89"/>
      <c r="H68" s="39"/>
    </row>
    <row r="69" spans="1:8" x14ac:dyDescent="0.25">
      <c r="A69" s="39"/>
      <c r="B69" s="39"/>
      <c r="C69" s="39"/>
      <c r="D69" s="39"/>
      <c r="E69" s="39"/>
      <c r="F69" s="39"/>
      <c r="G69" s="39"/>
      <c r="H69" s="39"/>
    </row>
    <row r="70" spans="1:8" ht="120" customHeight="1" x14ac:dyDescent="0.25">
      <c r="A70" s="39"/>
      <c r="B70" s="49"/>
      <c r="C70" s="92">
        <f>'FACT SHEET'!D117</f>
        <v>0</v>
      </c>
      <c r="D70" s="92"/>
      <c r="E70" s="92"/>
      <c r="F70" s="92"/>
      <c r="G70" s="93"/>
      <c r="H70" s="39"/>
    </row>
    <row r="71" spans="1:8" x14ac:dyDescent="0.25">
      <c r="A71" s="39"/>
      <c r="B71" s="39"/>
      <c r="C71" s="39"/>
      <c r="D71" s="39"/>
      <c r="E71" s="39"/>
      <c r="F71" s="39"/>
      <c r="G71" s="39"/>
      <c r="H71" s="39"/>
    </row>
    <row r="72" spans="1:8" x14ac:dyDescent="0.25">
      <c r="A72" s="39"/>
      <c r="B72" s="39"/>
      <c r="C72" s="45" t="str">
        <f>'FACT SHEET'!B120</f>
        <v>Support Provided:</v>
      </c>
      <c r="D72" s="39">
        <f>'FACT SHEET'!D120</f>
        <v>0</v>
      </c>
      <c r="E72" s="39"/>
      <c r="F72" s="39"/>
      <c r="G72" s="39"/>
      <c r="H72" s="39"/>
    </row>
    <row r="73" spans="1:8" x14ac:dyDescent="0.25">
      <c r="A73" s="39"/>
      <c r="B73" s="39"/>
      <c r="C73" s="45" t="str">
        <f>'FACT SHEET'!B122</f>
        <v>Unrelated Tasks:</v>
      </c>
      <c r="D73" s="39">
        <f>'FACT SHEET'!D122</f>
        <v>0</v>
      </c>
      <c r="E73" s="39"/>
      <c r="F73" s="39"/>
      <c r="G73" s="39"/>
      <c r="H73" s="39"/>
    </row>
    <row r="74" spans="1:8" x14ac:dyDescent="0.25">
      <c r="A74" s="39"/>
      <c r="B74" s="39"/>
      <c r="C74" s="39"/>
      <c r="D74" s="39"/>
      <c r="E74" s="39"/>
      <c r="F74" s="39"/>
      <c r="G74" s="39"/>
      <c r="H74" s="39"/>
    </row>
    <row r="75" spans="1:8" ht="23.25" x14ac:dyDescent="0.25">
      <c r="A75" s="39"/>
      <c r="B75" s="44"/>
      <c r="C75" s="89" t="s">
        <v>222</v>
      </c>
      <c r="D75" s="89"/>
      <c r="E75" s="89"/>
      <c r="F75" s="89"/>
      <c r="G75" s="89"/>
      <c r="H75" s="39"/>
    </row>
    <row r="76" spans="1:8" x14ac:dyDescent="0.25">
      <c r="A76" s="39"/>
      <c r="B76" s="39"/>
      <c r="C76" s="39"/>
      <c r="D76" s="39"/>
      <c r="E76" s="39"/>
      <c r="F76" s="39"/>
      <c r="G76" s="39"/>
      <c r="H76" s="39"/>
    </row>
    <row r="77" spans="1:8" ht="120" customHeight="1" x14ac:dyDescent="0.25">
      <c r="A77" s="39"/>
      <c r="B77" s="49"/>
      <c r="C77" s="92">
        <f>'FACT SHEET'!D125</f>
        <v>0</v>
      </c>
      <c r="D77" s="92"/>
      <c r="E77" s="92"/>
      <c r="F77" s="92"/>
      <c r="G77" s="93"/>
      <c r="H77" s="39"/>
    </row>
    <row r="78" spans="1:8" x14ac:dyDescent="0.25">
      <c r="A78" s="39"/>
      <c r="B78" s="39"/>
      <c r="C78" s="39"/>
      <c r="D78" s="39"/>
      <c r="E78" s="39"/>
      <c r="F78" s="39"/>
      <c r="G78" s="39"/>
      <c r="H78" s="39"/>
    </row>
    <row r="79" spans="1:8" ht="23.25" x14ac:dyDescent="0.25">
      <c r="A79" s="39"/>
      <c r="B79" s="38"/>
      <c r="C79" s="90" t="str">
        <f>'FACT SHEET'!B129</f>
        <v>Section C: Dates and Allowances</v>
      </c>
      <c r="D79" s="90"/>
      <c r="E79" s="90"/>
      <c r="F79" s="90"/>
      <c r="G79" s="90"/>
      <c r="H79" s="39"/>
    </row>
    <row r="80" spans="1:8" x14ac:dyDescent="0.25">
      <c r="A80" s="39"/>
      <c r="B80" s="39"/>
      <c r="C80" s="39"/>
      <c r="D80" s="39"/>
      <c r="E80" s="39"/>
      <c r="F80" s="39"/>
      <c r="G80" s="39"/>
      <c r="H80" s="39"/>
    </row>
    <row r="81" spans="1:8" x14ac:dyDescent="0.25">
      <c r="A81" s="39"/>
      <c r="B81" s="39"/>
      <c r="C81" s="45" t="str">
        <f>'FACT SHEET'!B131</f>
        <v>Internship Starts:</v>
      </c>
      <c r="D81" s="46">
        <f>'FACT SHEET'!D131</f>
        <v>29</v>
      </c>
      <c r="E81" s="43" t="str">
        <f>'FACT SHEET'!F131</f>
        <v>01</v>
      </c>
      <c r="F81" s="43">
        <f>'FACT SHEET'!H131</f>
        <v>2018</v>
      </c>
      <c r="G81" s="39"/>
      <c r="H81" s="39"/>
    </row>
    <row r="82" spans="1:8" x14ac:dyDescent="0.25">
      <c r="A82" s="39"/>
      <c r="B82" s="39"/>
      <c r="C82" s="45" t="str">
        <f>'FACT SHEET'!B133</f>
        <v>Internship Ends:</v>
      </c>
      <c r="D82" s="46">
        <f>'FACT SHEET'!D133</f>
        <v>15</v>
      </c>
      <c r="E82" s="43" t="str">
        <f>'FACT SHEET'!F133</f>
        <v>06</v>
      </c>
      <c r="F82" s="43">
        <f>'FACT SHEET'!H133</f>
        <v>2018</v>
      </c>
      <c r="G82" s="39"/>
      <c r="H82" s="39"/>
    </row>
    <row r="83" spans="1:8" x14ac:dyDescent="0.25">
      <c r="A83" s="39"/>
      <c r="B83" s="39"/>
      <c r="C83" s="45" t="str">
        <f>'FACT SHEET'!B137</f>
        <v>Stipend:</v>
      </c>
      <c r="D83" s="43">
        <f>'FACT SHEET'!D137:F137</f>
        <v>0</v>
      </c>
      <c r="E83" s="43">
        <f>'FACT SHEET'!H137</f>
        <v>0</v>
      </c>
      <c r="F83" s="43"/>
      <c r="G83" s="39"/>
      <c r="H83" s="39"/>
    </row>
    <row r="84" spans="1:8" x14ac:dyDescent="0.25">
      <c r="A84" s="39"/>
      <c r="B84" s="39"/>
      <c r="C84" s="45" t="str">
        <f>'FACT SHEET'!B139</f>
        <v>Travel Allowance:</v>
      </c>
      <c r="D84" s="43">
        <f>'FACT SHEET'!D139:F139</f>
        <v>0</v>
      </c>
      <c r="E84" s="43">
        <f>'FACT SHEET'!H139</f>
        <v>0</v>
      </c>
      <c r="F84" s="43"/>
      <c r="G84" s="39"/>
      <c r="H84" s="39"/>
    </row>
    <row r="85" spans="1:8" x14ac:dyDescent="0.25">
      <c r="A85" s="39"/>
      <c r="B85" s="39"/>
      <c r="C85" s="39"/>
      <c r="D85" s="39"/>
      <c r="E85" s="39"/>
      <c r="F85" s="39"/>
      <c r="G85" s="39"/>
      <c r="H85" s="39"/>
    </row>
    <row r="86" spans="1:8" ht="23.25" x14ac:dyDescent="0.25">
      <c r="A86" s="39"/>
      <c r="B86" s="38"/>
      <c r="C86" s="90" t="str">
        <f>'FACT SHEET'!B142</f>
        <v>Section D: Academic Information</v>
      </c>
      <c r="D86" s="90"/>
      <c r="E86" s="90"/>
      <c r="F86" s="90"/>
      <c r="G86" s="90"/>
      <c r="H86" s="39"/>
    </row>
    <row r="87" spans="1:8" x14ac:dyDescent="0.25">
      <c r="A87" s="39"/>
      <c r="B87" s="39"/>
      <c r="C87" s="39"/>
      <c r="D87" s="39"/>
      <c r="E87" s="39"/>
      <c r="F87" s="39"/>
      <c r="G87" s="39"/>
      <c r="H87" s="39"/>
    </row>
    <row r="88" spans="1:8" x14ac:dyDescent="0.25">
      <c r="A88" s="39"/>
      <c r="B88" s="39"/>
      <c r="C88" s="94" t="str">
        <f>'FACT SHEET'!B144</f>
        <v>How many 2nd year credits are you missing?</v>
      </c>
      <c r="D88" s="94"/>
      <c r="E88" s="94"/>
      <c r="F88" s="94"/>
      <c r="G88" s="39">
        <f>'FACT SHEET'!H144</f>
        <v>0</v>
      </c>
      <c r="H88" s="39"/>
    </row>
    <row r="89" spans="1:8" x14ac:dyDescent="0.25">
      <c r="A89" s="39"/>
      <c r="B89" s="39"/>
      <c r="C89" s="94" t="str">
        <f>'FACT SHEET'!B146</f>
        <v>Which 2nd year subjects are you missing?</v>
      </c>
      <c r="D89" s="94"/>
      <c r="E89" s="94"/>
      <c r="F89" s="94"/>
      <c r="G89" s="47">
        <f>'FACT SHEET'!H146</f>
        <v>0</v>
      </c>
      <c r="H89" s="39"/>
    </row>
    <row r="90" spans="1:8" x14ac:dyDescent="0.25">
      <c r="A90" s="39"/>
      <c r="B90" s="39"/>
      <c r="C90" s="94" t="str">
        <f>'FACT SHEET'!B148</f>
        <v>Can you still retake all of these 2nd year subjects?</v>
      </c>
      <c r="D90" s="94"/>
      <c r="E90" s="94"/>
      <c r="F90" s="94"/>
      <c r="G90" s="47">
        <f>'FACT SHEET'!H148</f>
        <v>0</v>
      </c>
      <c r="H90" s="39"/>
    </row>
    <row r="91" spans="1:8" x14ac:dyDescent="0.25">
      <c r="A91" s="39"/>
      <c r="B91" s="39"/>
      <c r="C91" s="94" t="str">
        <f>'FACT SHEET'!B151</f>
        <v>How many 3rd year credits are you missing?</v>
      </c>
      <c r="D91" s="94"/>
      <c r="E91" s="94"/>
      <c r="F91" s="94"/>
      <c r="G91" s="47">
        <f>'FACT SHEET'!H151</f>
        <v>0</v>
      </c>
      <c r="H91" s="39"/>
    </row>
    <row r="92" spans="1:8" x14ac:dyDescent="0.25">
      <c r="A92" s="39"/>
      <c r="B92" s="39"/>
      <c r="C92" s="94" t="str">
        <f>'FACT SHEET'!B153</f>
        <v>Which 3rd year subjects are you missing?</v>
      </c>
      <c r="D92" s="94"/>
      <c r="E92" s="94"/>
      <c r="F92" s="94"/>
      <c r="G92" s="47">
        <f>'FACT SHEET'!H153</f>
        <v>0</v>
      </c>
      <c r="H92" s="39"/>
    </row>
    <row r="93" spans="1:8" x14ac:dyDescent="0.25">
      <c r="A93" s="39"/>
      <c r="B93" s="39"/>
      <c r="C93" s="94" t="str">
        <f>'FACT SHEET'!B155</f>
        <v>Can you still retake all of these 3rd year subjects?</v>
      </c>
      <c r="D93" s="94"/>
      <c r="E93" s="94"/>
      <c r="F93" s="94"/>
      <c r="G93" s="47">
        <f>'FACT SHEET'!H155</f>
        <v>0</v>
      </c>
      <c r="H93" s="39"/>
    </row>
    <row r="94" spans="1:8" x14ac:dyDescent="0.25">
      <c r="A94" s="39"/>
      <c r="B94" s="39"/>
      <c r="C94" s="94" t="str">
        <f>'FACT SHEET'!B158</f>
        <v>How many 4th year credits are you missing?</v>
      </c>
      <c r="D94" s="94"/>
      <c r="E94" s="94"/>
      <c r="F94" s="94"/>
      <c r="G94" s="47">
        <f>'FACT SHEET'!H158</f>
        <v>0</v>
      </c>
      <c r="H94" s="39"/>
    </row>
    <row r="95" spans="1:8" x14ac:dyDescent="0.25">
      <c r="A95" s="39"/>
      <c r="B95" s="39"/>
      <c r="C95" s="94" t="str">
        <f>'FACT SHEET'!B160</f>
        <v>Which 4th year subjects are you missing?</v>
      </c>
      <c r="D95" s="94"/>
      <c r="E95" s="94"/>
      <c r="F95" s="94"/>
      <c r="G95" s="47">
        <f>'FACT SHEET'!H160</f>
        <v>0</v>
      </c>
      <c r="H95" s="39"/>
    </row>
    <row r="96" spans="1:8" x14ac:dyDescent="0.25">
      <c r="A96" s="39"/>
      <c r="B96" s="39"/>
      <c r="C96" s="94" t="str">
        <f>'FACT SHEET'!B162</f>
        <v>Can you still retake all of these 4th year subjects?</v>
      </c>
      <c r="D96" s="94"/>
      <c r="E96" s="94"/>
      <c r="F96" s="94"/>
      <c r="G96" s="47">
        <f>'FACT SHEET'!H162</f>
        <v>0</v>
      </c>
      <c r="H96" s="39"/>
    </row>
    <row r="97" spans="1:8" x14ac:dyDescent="0.25">
      <c r="A97" s="39"/>
      <c r="B97" s="39"/>
      <c r="C97" s="39"/>
      <c r="D97" s="39"/>
      <c r="E97" s="39"/>
      <c r="F97" s="39"/>
      <c r="G97" s="39"/>
      <c r="H97" s="39"/>
    </row>
    <row r="98" spans="1:8" ht="23.25" x14ac:dyDescent="0.25">
      <c r="A98" s="39"/>
      <c r="B98" s="38"/>
      <c r="C98" s="90" t="str">
        <f>'FACT SHEET'!B165</f>
        <v>DECLARATION:</v>
      </c>
      <c r="D98" s="90"/>
      <c r="E98" s="90"/>
      <c r="F98" s="90"/>
      <c r="G98" s="90"/>
      <c r="H98" s="39"/>
    </row>
    <row r="99" spans="1:8" x14ac:dyDescent="0.25">
      <c r="A99" s="39"/>
      <c r="B99" s="39"/>
      <c r="C99" s="39"/>
      <c r="D99" s="39"/>
      <c r="E99" s="39"/>
      <c r="F99" s="39"/>
      <c r="G99" s="39"/>
      <c r="H99" s="39"/>
    </row>
    <row r="100" spans="1:8" ht="14.45" customHeight="1" x14ac:dyDescent="0.25">
      <c r="A100" s="39"/>
      <c r="B100" s="39"/>
      <c r="C100" s="95" t="str">
        <f>'FACT SHEET'!B166</f>
        <v>I am aware that I cannot start with my internship if – at the start of my internship - I have not obtained at least 81 ECTS out of 90 ECTS from Year 3 and Year 4 modules/study units and if I have failed either one or both of the modules Business Research Methods (written exam and the project).</v>
      </c>
      <c r="D100" s="95"/>
      <c r="E100" s="95"/>
      <c r="F100" s="95"/>
      <c r="G100" s="47">
        <f>'FACT SHEET'!H166</f>
        <v>0</v>
      </c>
      <c r="H100" s="39"/>
    </row>
    <row r="101" spans="1:8" ht="36.6" customHeight="1" x14ac:dyDescent="0.25">
      <c r="A101" s="39"/>
      <c r="B101" s="39"/>
      <c r="C101" s="95"/>
      <c r="D101" s="95"/>
      <c r="E101" s="95"/>
      <c r="F101" s="95"/>
      <c r="G101" s="39"/>
      <c r="H101" s="39"/>
    </row>
    <row r="102" spans="1:8" x14ac:dyDescent="0.25">
      <c r="A102" s="39"/>
      <c r="B102" s="39"/>
      <c r="C102" s="39"/>
      <c r="D102" s="39"/>
      <c r="E102" s="39"/>
      <c r="F102" s="39"/>
      <c r="G102" s="39"/>
      <c r="H102" s="39"/>
    </row>
    <row r="103" spans="1:8" ht="23.25" x14ac:dyDescent="0.25">
      <c r="A103" s="39"/>
      <c r="B103" s="38"/>
      <c r="C103" s="90" t="str">
        <f>'FACT SHEET'!B169</f>
        <v>FOR IBMS STUDENTS ONLY:</v>
      </c>
      <c r="D103" s="90"/>
      <c r="E103" s="90"/>
      <c r="F103" s="90"/>
      <c r="G103" s="90"/>
      <c r="H103" s="39"/>
    </row>
    <row r="104" spans="1:8" x14ac:dyDescent="0.25">
      <c r="A104" s="39"/>
      <c r="B104" s="39"/>
      <c r="C104" s="39"/>
      <c r="D104" s="39"/>
      <c r="E104" s="39"/>
      <c r="F104" s="39"/>
      <c r="G104" s="39"/>
      <c r="H104" s="39"/>
    </row>
    <row r="105" spans="1:8" x14ac:dyDescent="0.25">
      <c r="A105" s="39"/>
      <c r="B105" s="39"/>
      <c r="C105" s="96" t="str">
        <f>'FACT SHEET'!B172</f>
        <v>How many semesters have you spent in your native country during your studies at ASIS?</v>
      </c>
      <c r="D105" s="96"/>
      <c r="E105" s="96"/>
      <c r="F105" s="96"/>
      <c r="G105" s="47">
        <f>'FACT SHEET'!H172</f>
        <v>0</v>
      </c>
      <c r="H105" s="39"/>
    </row>
    <row r="106" spans="1:8" x14ac:dyDescent="0.25">
      <c r="A106" s="39"/>
      <c r="B106" s="39"/>
      <c r="C106" s="96"/>
      <c r="D106" s="96"/>
      <c r="E106" s="96"/>
      <c r="F106" s="96"/>
      <c r="G106" s="39"/>
      <c r="H106" s="39"/>
    </row>
    <row r="107" spans="1:8" ht="6" customHeight="1" x14ac:dyDescent="0.25">
      <c r="A107" s="39"/>
      <c r="B107" s="39"/>
      <c r="C107" s="48"/>
      <c r="D107" s="48"/>
      <c r="E107" s="48"/>
      <c r="F107" s="48"/>
      <c r="G107" s="39"/>
      <c r="H107" s="39"/>
    </row>
    <row r="108" spans="1:8" x14ac:dyDescent="0.25">
      <c r="A108" s="39"/>
      <c r="B108" s="39"/>
      <c r="C108" s="96" t="str">
        <f>'FACT SHEET'!B176</f>
        <v xml:space="preserve">My graduation internship meets the requirements of the double degree contract and the ASIS Handbook. </v>
      </c>
      <c r="D108" s="96"/>
      <c r="E108" s="96"/>
      <c r="F108" s="96"/>
      <c r="G108" s="47">
        <f>'FACT SHEET'!H176</f>
        <v>0</v>
      </c>
      <c r="H108" s="39"/>
    </row>
    <row r="109" spans="1:8" x14ac:dyDescent="0.25">
      <c r="A109" s="39"/>
      <c r="B109" s="39"/>
      <c r="C109" s="96"/>
      <c r="D109" s="96"/>
      <c r="E109" s="96"/>
      <c r="F109" s="96"/>
      <c r="G109" s="39"/>
      <c r="H109" s="39"/>
    </row>
    <row r="110" spans="1:8" x14ac:dyDescent="0.25">
      <c r="A110" s="39"/>
      <c r="B110" s="39"/>
      <c r="C110" s="39"/>
      <c r="D110" s="39"/>
      <c r="E110" s="39"/>
      <c r="F110" s="39"/>
      <c r="G110" s="39"/>
      <c r="H110" s="39"/>
    </row>
    <row r="111" spans="1:8" ht="23.25" x14ac:dyDescent="0.25">
      <c r="A111" s="39"/>
      <c r="B111" s="38"/>
      <c r="C111" s="90"/>
      <c r="D111" s="90"/>
      <c r="E111" s="90"/>
      <c r="F111" s="90"/>
      <c r="G111" s="90"/>
      <c r="H111" s="39"/>
    </row>
    <row r="112" spans="1:8" ht="6" customHeight="1" x14ac:dyDescent="0.25">
      <c r="A112" s="39"/>
      <c r="B112" s="39"/>
      <c r="C112" s="39"/>
      <c r="D112" s="39"/>
      <c r="E112" s="39"/>
      <c r="F112" s="39"/>
      <c r="G112" s="39"/>
      <c r="H112" s="39"/>
    </row>
  </sheetData>
  <sheetProtection algorithmName="SHA-512" hashValue="E5FESwhF1Nph6GHnyz0HwkvO6Wju8Dq+v1k5+p+ZOI7OSRTkSu8iaKq5c14FYCV7x5dFAjaR90kFwi4T9shiWw==" saltValue="fWbjG4f1WZczDQRNhG3CIQ==" spinCount="100000" sheet="1" objects="1" scenarios="1" selectLockedCells="1"/>
  <mergeCells count="31">
    <mergeCell ref="C111:G111"/>
    <mergeCell ref="C100:F101"/>
    <mergeCell ref="C98:G98"/>
    <mergeCell ref="C103:G103"/>
    <mergeCell ref="C105:F106"/>
    <mergeCell ref="C108:F109"/>
    <mergeCell ref="C96:F96"/>
    <mergeCell ref="C77:G77"/>
    <mergeCell ref="C79:G79"/>
    <mergeCell ref="C86:G86"/>
    <mergeCell ref="C88:F88"/>
    <mergeCell ref="C89:F89"/>
    <mergeCell ref="C90:F90"/>
    <mergeCell ref="C91:F91"/>
    <mergeCell ref="C92:F92"/>
    <mergeCell ref="C93:F93"/>
    <mergeCell ref="C94:F94"/>
    <mergeCell ref="C95:F95"/>
    <mergeCell ref="C58:G58"/>
    <mergeCell ref="C64:G64"/>
    <mergeCell ref="C68:G68"/>
    <mergeCell ref="C75:G75"/>
    <mergeCell ref="C70:G70"/>
    <mergeCell ref="C66:G66"/>
    <mergeCell ref="B1:G1"/>
    <mergeCell ref="C47:G47"/>
    <mergeCell ref="C2:G2"/>
    <mergeCell ref="C19:G19"/>
    <mergeCell ref="C25:G25"/>
    <mergeCell ref="C31:G31"/>
    <mergeCell ref="C36:G36"/>
  </mergeCells>
  <printOptions horizontalCentered="1" verticalCentered="1"/>
  <pageMargins left="0.70866141732283472" right="0.70866141732283472" top="0.74803149606299213" bottom="0.74803149606299213" header="0.31496062992125984" footer="0.31496062992125984"/>
  <pageSetup paperSize="9" orientation="portrait" r:id="rId1"/>
  <rowBreaks count="3" manualBreakCount="3">
    <brk id="35" min="1" max="6" man="1"/>
    <brk id="63" min="1" max="6" man="1"/>
    <brk id="78" min="1" max="6" man="1"/>
  </rowBreak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Werkbladen</vt:lpstr>
      </vt:variant>
      <vt:variant>
        <vt:i4>2</vt:i4>
      </vt:variant>
      <vt:variant>
        <vt:lpstr>Benoemde bereiken</vt:lpstr>
      </vt:variant>
      <vt:variant>
        <vt:i4>20</vt:i4>
      </vt:variant>
    </vt:vector>
  </HeadingPairs>
  <TitlesOfParts>
    <vt:vector size="22" baseType="lpstr">
      <vt:lpstr>FACT SHEET</vt:lpstr>
      <vt:lpstr>PRINT</vt:lpstr>
      <vt:lpstr>PRINT!Afdrukbereik</vt:lpstr>
      <vt:lpstr>CATEGORY</vt:lpstr>
      <vt:lpstr>CREDITSMISSING</vt:lpstr>
      <vt:lpstr>DAY</vt:lpstr>
      <vt:lpstr>DIGITS</vt:lpstr>
      <vt:lpstr>DWM</vt:lpstr>
      <vt:lpstr>GENDER</vt:lpstr>
      <vt:lpstr>GROSSNET</vt:lpstr>
      <vt:lpstr>INTERMEDIARY</vt:lpstr>
      <vt:lpstr>MAJOR</vt:lpstr>
      <vt:lpstr>MONTH</vt:lpstr>
      <vt:lpstr>RELATION</vt:lpstr>
      <vt:lpstr>TASKS</vt:lpstr>
      <vt:lpstr>TYPE</vt:lpstr>
      <vt:lpstr>WORKDAYS</vt:lpstr>
      <vt:lpstr>YEAR</vt:lpstr>
      <vt:lpstr>YEAR2</vt:lpstr>
      <vt:lpstr>YEAR3</vt:lpstr>
      <vt:lpstr>YEAR4</vt:lpstr>
      <vt:lpstr>YESNO</vt:lpstr>
    </vt:vector>
  </TitlesOfParts>
  <Company>Avans Hogeschool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Elsa Cardoso Ferreira</dc:creator>
  <cp:lastModifiedBy>Jeanine Valentijn</cp:lastModifiedBy>
  <cp:lastPrinted>2014-01-22T09:50:38Z</cp:lastPrinted>
  <dcterms:created xsi:type="dcterms:W3CDTF">2013-07-29T07:54:29Z</dcterms:created>
  <dcterms:modified xsi:type="dcterms:W3CDTF">2017-09-19T10:53:01Z</dcterms:modified>
</cp:coreProperties>
</file>